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kelliste" sheetId="1" state="visible" r:id="rId3"/>
    <sheet name="Budget-Szenarien" sheetId="2" state="visible" r:id="rId4"/>
    <sheet name="Checkliste Ev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<sst xmlns="http://schemas.openxmlformats.org/spreadsheetml/2006/main" count="391" uniqueCount="254">
  <si>
    <t xml:space="preserve">Kategorie</t>
  </si>
  <si>
    <t xml:space="preserve">Artikel</t>
  </si>
  <si>
    <t xml:space="preserve">Zweck / Nutzen</t>
  </si>
  <si>
    <t xml:space="preserve">Empf. Menge</t>
  </si>
  <si>
    <t xml:space="preserve">Mengen-Begründung</t>
  </si>
  <si>
    <t xml:space="preserve">Budget
(€/Stk)</t>
  </si>
  <si>
    <t xml:space="preserve">Mid
(€/Stk)</t>
  </si>
  <si>
    <t xml:space="preserve">Premium
(€/Stk)</t>
  </si>
  <si>
    <t xml:space="preserve">Budget
Gesamt</t>
  </si>
  <si>
    <t xml:space="preserve">Mid
Gesamt</t>
  </si>
  <si>
    <t xml:space="preserve">Premium
Gesamt</t>
  </si>
  <si>
    <t xml:space="preserve">Wiederverwendbar?</t>
  </si>
  <si>
    <t xml:space="preserve">Anmerkungen</t>
  </si>
  <si>
    <t xml:space="preserve">TEAM OUTFIT</t>
  </si>
  <si>
    <t xml:space="preserve">Team Outfit</t>
  </si>
  <si>
    <t xml:space="preserve">T-Shirts (Team)</t>
  </si>
  <si>
    <t xml:space="preserve">Einheitliches Auftreten am Stand</t>
  </si>
  <si>
    <t xml:space="preserve">~15 MA + Reserve</t>
  </si>
  <si>
    <t xml:space="preserve">Ja</t>
  </si>
  <si>
    <t xml:space="preserve">Unisex, Mega-Holz Branding, Rückseite cooler Spruch</t>
  </si>
  <si>
    <t xml:space="preserve">Hoodies (Team)</t>
  </si>
  <si>
    <t xml:space="preserve">Abends / kühles Wetter am See</t>
  </si>
  <si>
    <t xml:space="preserve">Kern-Team</t>
  </si>
  <si>
    <t xml:space="preserve">350g+, Logo Brust, ggf. Schriftzug Ärmel</t>
  </si>
  <si>
    <t xml:space="preserve">Sportliche Trikots</t>
  </si>
  <si>
    <t xml:space="preserve">Challenge-Teilnehmer aus dem Team</t>
  </si>
  <si>
    <t xml:space="preserve">Aktive Starter</t>
  </si>
  <si>
    <t xml:space="preserve">Funktionsstoff, atmungsaktiv, Mega-Holz Design</t>
  </si>
  <si>
    <t xml:space="preserve">Überzieh-Leibchen (WM-Style)</t>
  </si>
  <si>
    <t xml:space="preserve">Schnell drüberziehen für Fotos / Stand</t>
  </si>
  <si>
    <t xml:space="preserve">Alle + Reserve</t>
  </si>
  <si>
    <t xml:space="preserve">Günstige Alternative zu individuellen Trikots, Sticker-Option</t>
  </si>
  <si>
    <t xml:space="preserve">Caps / Snapbacks</t>
  </si>
  <si>
    <t xml:space="preserve">Sonnenschutz + Branding</t>
  </si>
  <si>
    <t xml:space="preserve">Alle MA</t>
  </si>
  <si>
    <t xml:space="preserve">Mega-Holz Orange oder Navy</t>
  </si>
  <si>
    <t xml:space="preserve">STAND-AUSSTATTUNG</t>
  </si>
  <si>
    <t xml:space="preserve">Stand-Ausstattung</t>
  </si>
  <si>
    <t xml:space="preserve">Hussen (Stehtische)</t>
  </si>
  <si>
    <t xml:space="preserve">Professionelle Tisch-Optik</t>
  </si>
  <si>
    <t xml:space="preserve">2 Zelte à 2-3 Tische</t>
  </si>
  <si>
    <t xml:space="preserve">Stretch-Hussen, gebrandeter Druck oder uni + Banner</t>
  </si>
  <si>
    <t xml:space="preserve">Liegestühle (bedruckt)</t>
  </si>
  <si>
    <t xml:space="preserve">Chill-Zone am Strand</t>
  </si>
  <si>
    <t xml:space="preserve">Einladende Lounge-Atmosphäre</t>
  </si>
  <si>
    <t xml:space="preserve">Holzgestell passt zur Marke! Mega-Holz Stoff</t>
  </si>
  <si>
    <t xml:space="preserve">Fahnen / Beachflags</t>
  </si>
  <si>
    <t xml:space="preserve">Fernwirkung, Sichtbarkeit</t>
  </si>
  <si>
    <t xml:space="preserve">2 pro Zelt-Eingang</t>
  </si>
  <si>
    <t xml:space="preserve">3-4m Höhe, Mega-Holz Logo + Farben</t>
  </si>
  <si>
    <t xml:space="preserve">Decken (Picknick/Strand)</t>
  </si>
  <si>
    <t xml:space="preserve">Strand-Bereich, Kinder-Ecke</t>
  </si>
  <si>
    <t xml:space="preserve">Besucher zum Verweilen</t>
  </si>
  <si>
    <t xml:space="preserve">Mega-Holz Logo, wasserabweisende Unterseite</t>
  </si>
  <si>
    <t xml:space="preserve">Roll-Up Banner</t>
  </si>
  <si>
    <t xml:space="preserve">Zusätzliche Fläche in Zelten</t>
  </si>
  <si>
    <t xml:space="preserve">2 pro Zelt</t>
  </si>
  <si>
    <t xml:space="preserve">Produktbilder, QR-Code zum Shop</t>
  </si>
  <si>
    <t xml:space="preserve">Sonnenschirme (bedruckt)</t>
  </si>
  <si>
    <t xml:space="preserve">Außenbereich / Strand</t>
  </si>
  <si>
    <t xml:space="preserve">Schattenplätze</t>
  </si>
  <si>
    <t xml:space="preserve">Mega-Holz Orange, großformatig</t>
  </si>
  <si>
    <t xml:space="preserve">PREMIUM MERCH</t>
  </si>
  <si>
    <t xml:space="preserve">Premium Merch</t>
  </si>
  <si>
    <t xml:space="preserve">Bowls / Lunchbox</t>
  </si>
  <si>
    <t xml:space="preserve">Goodie Bag Top 3 / Verlosung</t>
  </si>
  <si>
    <t xml:space="preserve">3 Sieger-Bags + Verlosung + MA</t>
  </si>
  <si>
    <t xml:space="preserve">Bambus oder Edelstahl, Gravur</t>
  </si>
  <si>
    <t xml:space="preserve">Trinkflasche (Edelstahl)</t>
  </si>
  <si>
    <t xml:space="preserve">Goodie Bag / MA-Merch</t>
  </si>
  <si>
    <t xml:space="preserve">Top 3 + Team + Verlosung</t>
  </si>
  <si>
    <t xml:space="preserve">750ml, Gravur statt Druck = langlebiger</t>
  </si>
  <si>
    <t xml:space="preserve">Kaffee-To-Go Becher</t>
  </si>
  <si>
    <t xml:space="preserve">Goodie Bag / Verlosung</t>
  </si>
  <si>
    <t xml:space="preserve">Bambus-Deckel, doppelwandig, 350ml</t>
  </si>
  <si>
    <t xml:space="preserve">Mauspads</t>
  </si>
  <si>
    <t xml:space="preserve">MA-Merch / B2B-Geschenk</t>
  </si>
  <si>
    <t xml:space="preserve">Büro-MA + Giveaway</t>
  </si>
  <si>
    <t xml:space="preserve">XL-Format, Holzoptik-Design, Logo dezent</t>
  </si>
  <si>
    <t xml:space="preserve">GIVEAWAYS</t>
  </si>
  <si>
    <t xml:space="preserve">Giveaways</t>
  </si>
  <si>
    <t xml:space="preserve">Becher (Kunststoff/Melamin)</t>
  </si>
  <si>
    <t xml:space="preserve">Streuartikel am Stand</t>
  </si>
  <si>
    <t xml:space="preserve">~100/Tag über 3 Tage</t>
  </si>
  <si>
    <t xml:space="preserve">Nein</t>
  </si>
  <si>
    <t xml:space="preserve">Wiederverwendbar → nachhaltige Message</t>
  </si>
  <si>
    <t xml:space="preserve">Luftballons (bedruckt)</t>
  </si>
  <si>
    <t xml:space="preserve">Kinder-Anziehung, Hüpfburg-Bereich</t>
  </si>
  <si>
    <t xml:space="preserve">Hüpfburg zieht Familien an</t>
  </si>
  <si>
    <t xml:space="preserve">Mega-Holz Logo, Orange/Weiß</t>
  </si>
  <si>
    <t xml:space="preserve">Bälle (Wasserball/Stressball)</t>
  </si>
  <si>
    <t xml:space="preserve">Strand-Atmosphäre, Kinder</t>
  </si>
  <si>
    <t xml:space="preserve">Strand + Kinder-Bereich</t>
  </si>
  <si>
    <t xml:space="preserve">Wasserbälle am See = perfekt! Oder Softbälle</t>
  </si>
  <si>
    <t xml:space="preserve">Klatschdinger (Thundersticks)</t>
  </si>
  <si>
    <t xml:space="preserve">Stimmung bei den Rennen</t>
  </si>
  <si>
    <t xml:space="preserve">Zuschauer anfeuern</t>
  </si>
  <si>
    <t xml:space="preserve">Mega-Holz Orange, günstig, hoher Fun-Faktor</t>
  </si>
  <si>
    <t xml:space="preserve">Kartenspiel (bedruckt)</t>
  </si>
  <si>
    <t xml:space="preserve">Wartezeit überbrücken, Erinnerung</t>
  </si>
  <si>
    <t xml:space="preserve">Familien + Chill-Zone</t>
  </si>
  <si>
    <t xml:space="preserve">Quartett mit Holzprodukten oder Skat-Spiel</t>
  </si>
  <si>
    <t xml:space="preserve">Samen-Tütchen</t>
  </si>
  <si>
    <t xml:space="preserve">Nachhaltig, on-brand</t>
  </si>
  <si>
    <t xml:space="preserve">Leicht + günstig + hohe Reichweite</t>
  </si>
  <si>
    <t xml:space="preserve">'Damit was wächst — Mega-Holz' als Claim</t>
  </si>
  <si>
    <t xml:space="preserve">Sticker-Set</t>
  </si>
  <si>
    <t xml:space="preserve">Branding überall</t>
  </si>
  <si>
    <t xml:space="preserve">Günstigster Streuartikel</t>
  </si>
  <si>
    <t xml:space="preserve">Coole Illustrationen, Holz-Motive, nicht nur Logo</t>
  </si>
  <si>
    <t xml:space="preserve">Schlüsselanhänger (Holz)</t>
  </si>
  <si>
    <t xml:space="preserve">Haptisch, on-brand</t>
  </si>
  <si>
    <t xml:space="preserve">Gesprächsstarter</t>
  </si>
  <si>
    <t xml:space="preserve">Hochbeet- oder Zaun-Silhouette, Lasergravur</t>
  </si>
  <si>
    <t xml:space="preserve">VERPFLEGUNG</t>
  </si>
  <si>
    <t xml:space="preserve">Verpflegung</t>
  </si>
  <si>
    <t xml:space="preserve">Iso-Drink (Flaschen + Sticker)</t>
  </si>
  <si>
    <t xml:space="preserve">Sportler-Zielgruppe, Erfrischung</t>
  </si>
  <si>
    <t xml:space="preserve">~100/Tag</t>
  </si>
  <si>
    <t xml:space="preserve">Günstig: normal kaufen + Mega-Holz Sticker drauf</t>
  </si>
  <si>
    <t xml:space="preserve">Müsliriegel (+ Sticker/Banderole)</t>
  </si>
  <si>
    <t xml:space="preserve">Snack für Sportler</t>
  </si>
  <si>
    <t xml:space="preserve">Cliff/PowerBar-Style kaufen + Banderole drüber</t>
  </si>
  <si>
    <t xml:space="preserve">Wasser (Flaschen + Sticker)</t>
  </si>
  <si>
    <t xml:space="preserve">Basis-Erfrischung am Stand</t>
  </si>
  <si>
    <t xml:space="preserve">Muss vorhanden sein</t>
  </si>
  <si>
    <t xml:space="preserve">Günstig vom Discounter + Mega-Holz Etikett</t>
  </si>
  <si>
    <t xml:space="preserve">ERGÄNZUNGEN</t>
  </si>
  <si>
    <t xml:space="preserve">Ergänzung</t>
  </si>
  <si>
    <t xml:space="preserve">Handtücher / Mikrofaser</t>
  </si>
  <si>
    <t xml:space="preserve">Perfekt für Schwimmer + Strand</t>
  </si>
  <si>
    <t xml:space="preserve">Premium-Giveaway für Sportler</t>
  </si>
  <si>
    <t xml:space="preserve">Mega-Holz Logo, schnelltrocknend, passt zum See-Setting</t>
  </si>
  <si>
    <t xml:space="preserve">Sonnencreme-Sachets (bedruckt)</t>
  </si>
  <si>
    <t xml:space="preserve">August = Sonne, nützlich</t>
  </si>
  <si>
    <t xml:space="preserve">Günstig, hoher Nutzwert</t>
  </si>
  <si>
    <t xml:space="preserve">Praktisch, wird sofort verbraucht, positive Assoziation</t>
  </si>
  <si>
    <t xml:space="preserve">Tattoo-Sticker (temporär)</t>
  </si>
  <si>
    <t xml:space="preserve">Kinder lieben es, Branding</t>
  </si>
  <si>
    <t xml:space="preserve">Hüpfburg-Kinder</t>
  </si>
  <si>
    <t xml:space="preserve">Mega-Holz Logo als Temp-Tattoo, günstig</t>
  </si>
  <si>
    <t xml:space="preserve">Fächer (Holz/Pappe)</t>
  </si>
  <si>
    <t xml:space="preserve">August-Hitze am See</t>
  </si>
  <si>
    <t xml:space="preserve">Günstig, nützlich, Werbefläche</t>
  </si>
  <si>
    <t xml:space="preserve">Bedruckt mit Logo + Produktbildern, praktisch</t>
  </si>
  <si>
    <t xml:space="preserve">Baumwoll-Jutebeutel</t>
  </si>
  <si>
    <t xml:space="preserve">Tragetasche für Giveaways</t>
  </si>
  <si>
    <t xml:space="preserve">Besucher nehmen Sachen mit</t>
  </si>
  <si>
    <t xml:space="preserve">Mega-Holz Branding, wird weiter genutzt</t>
  </si>
  <si>
    <t xml:space="preserve">QR-Code Flyer / Postkarten</t>
  </si>
  <si>
    <t xml:space="preserve">Lead-Generierung → Shop</t>
  </si>
  <si>
    <t xml:space="preserve">Am Stand auslegen</t>
  </si>
  <si>
    <t xml:space="preserve">Rabattcode 'OSEE2026' → 10% auf Erstbestellung</t>
  </si>
  <si>
    <t xml:space="preserve">Trillerpfeifen / Schellen</t>
  </si>
  <si>
    <t xml:space="preserve">Anfeuern bei den Rennen</t>
  </si>
  <si>
    <t xml:space="preserve">Stimmung + Branding</t>
  </si>
  <si>
    <t xml:space="preserve">Orange/Navy, Mega-Holz Aufdruck</t>
  </si>
  <si>
    <t xml:space="preserve">Kinder-Malbuch / -blätter</t>
  </si>
  <si>
    <t xml:space="preserve">Beschäftigung Hüpfburg-Bereich</t>
  </si>
  <si>
    <t xml:space="preserve">Familien binden</t>
  </si>
  <si>
    <t xml:space="preserve">Holzprodukte zum Ausmalen, Logo, Gutschein drin</t>
  </si>
  <si>
    <t xml:space="preserve">GESAMTSUMME</t>
  </si>
  <si>
    <t xml:space="preserve">AUFSCHLÜSSELUNG NACH KATEGORIE</t>
  </si>
  <si>
    <t xml:space="preserve">Budget</t>
  </si>
  <si>
    <t xml:space="preserve">Mid</t>
  </si>
  <si>
    <t xml:space="preserve">Premium</t>
  </si>
  <si>
    <t xml:space="preserve">Wiederverwendbar</t>
  </si>
  <si>
    <t xml:space="preserve">Teilweise</t>
  </si>
  <si>
    <t xml:space="preserve">Ergänzungen (Claude)</t>
  </si>
  <si>
    <t xml:space="preserve">🟢 MINIMAL (~1.500€)</t>
  </si>
  <si>
    <t xml:space="preserve">Fokus auf Team-Basics + günstige Streuartikel</t>
  </si>
  <si>
    <t xml:space="preserve">Menge</t>
  </si>
  <si>
    <t xml:space="preserve">€/Stk</t>
  </si>
  <si>
    <t xml:space="preserve">Gesamt</t>
  </si>
  <si>
    <t xml:space="preserve">T-Shirts Team</t>
  </si>
  <si>
    <t xml:space="preserve">Caps</t>
  </si>
  <si>
    <t xml:space="preserve">Überzieh-Leibchen</t>
  </si>
  <si>
    <t xml:space="preserve">Beachflags</t>
  </si>
  <si>
    <t xml:space="preserve">Hussen</t>
  </si>
  <si>
    <t xml:space="preserve">Luftballons</t>
  </si>
  <si>
    <t xml:space="preserve">Sticker-Sets</t>
  </si>
  <si>
    <t xml:space="preserve">Klatschdinger</t>
  </si>
  <si>
    <t xml:space="preserve">Wasser + Sticker</t>
  </si>
  <si>
    <t xml:space="preserve">QR-Code Flyer</t>
  </si>
  <si>
    <t xml:space="preserve">SUMME</t>
  </si>
  <si>
    <t xml:space="preserve">🟡 STANDARD (~3.500€)</t>
  </si>
  <si>
    <t xml:space="preserve">Solider Auftritt mit gutem Merch-Mix</t>
  </si>
  <si>
    <t xml:space="preserve">Hoodies Team</t>
  </si>
  <si>
    <t xml:space="preserve">Sport-Trikots (Starter)</t>
  </si>
  <si>
    <t xml:space="preserve">Liegestühle</t>
  </si>
  <si>
    <t xml:space="preserve">Decken</t>
  </si>
  <si>
    <t xml:space="preserve">Trinkflaschen</t>
  </si>
  <si>
    <t xml:space="preserve">Becher (Giveaway)</t>
  </si>
  <si>
    <t xml:space="preserve">Bälle</t>
  </si>
  <si>
    <t xml:space="preserve">Iso-Drinks + Sticker</t>
  </si>
  <si>
    <t xml:space="preserve">Müsliriegel + Banderole</t>
  </si>
  <si>
    <t xml:space="preserve">🔴 PREMIUM (~7.000€+)</t>
  </si>
  <si>
    <t xml:space="preserve">Maximaler Impact, alles hochwertig</t>
  </si>
  <si>
    <t xml:space="preserve">T-Shirts Team (Premium)</t>
  </si>
  <si>
    <t xml:space="preserve">Hoodies Team (Premium)</t>
  </si>
  <si>
    <t xml:space="preserve">Sport-Trikots</t>
  </si>
  <si>
    <t xml:space="preserve">Liegestühle (Holz, bedruckt)</t>
  </si>
  <si>
    <t xml:space="preserve">Decken (wasserfest)</t>
  </si>
  <si>
    <t xml:space="preserve">Sonnenschirme</t>
  </si>
  <si>
    <t xml:space="preserve">Trinkflaschen (Gravur)</t>
  </si>
  <si>
    <t xml:space="preserve">Handtücher (Mikrofaser)</t>
  </si>
  <si>
    <t xml:space="preserve">Bälle (Wasserball)</t>
  </si>
  <si>
    <t xml:space="preserve">Kartenspiel</t>
  </si>
  <si>
    <t xml:space="preserve">Schlüsselanhänger</t>
  </si>
  <si>
    <t xml:space="preserve">Jutebeutel</t>
  </si>
  <si>
    <t xml:space="preserve">Sonnencreme-Sachets</t>
  </si>
  <si>
    <t xml:space="preserve">Tattoo-Sticker</t>
  </si>
  <si>
    <t xml:space="preserve">Kinder-Malbuch</t>
  </si>
  <si>
    <t xml:space="preserve">O-SEE Challenge 2026 — Event-Checkliste Mega-Holz</t>
  </si>
  <si>
    <t xml:space="preserve">14.-16. August 2026 | Olbersdorfer See, Zittau | 2 Zelte à 25qm + LKW + Hüpfburg</t>
  </si>
  <si>
    <t xml:space="preserve">✓</t>
  </si>
  <si>
    <t xml:space="preserve">Bereich</t>
  </si>
  <si>
    <t xml:space="preserve">Aufgabe / Item</t>
  </si>
  <si>
    <t xml:space="preserve">Verantwortlich</t>
  </si>
  <si>
    <t xml:space="preserve">VOR DEM EVENT</t>
  </si>
  <si>
    <t xml:space="preserve">☐</t>
  </si>
  <si>
    <t xml:space="preserve">Alle Merch-Bestellungen 6-8 Wochen vorher aufgeben</t>
  </si>
  <si>
    <t xml:space="preserve">Sticker für Iso-Drinks / Müsliriegel / Wasser drucken lassen</t>
  </si>
  <si>
    <t xml:space="preserve">QR-Code Flyer mit Rabattcode 'OSEE2026' designen + drucken</t>
  </si>
  <si>
    <t xml:space="preserve">Team-Outfit verteilen + Größen checken</t>
  </si>
  <si>
    <t xml:space="preserve">LKW-Wrap finalisiert?</t>
  </si>
  <si>
    <t xml:space="preserve">Displays vorbereiten + testen</t>
  </si>
  <si>
    <t xml:space="preserve">Goodie Bags für Top 3 packen</t>
  </si>
  <si>
    <t xml:space="preserve">Fotograf / Social-Media Person einplanen</t>
  </si>
  <si>
    <t xml:space="preserve">Aufbau-Plan für 2 Zelte erstellen</t>
  </si>
  <si>
    <t xml:space="preserve">TRANSPORT / AUFBAU (13. Aug)</t>
  </si>
  <si>
    <t xml:space="preserve">LKW beladen: Displays, Merch, Hussen, Fahnen, Liegestühle</t>
  </si>
  <si>
    <t xml:space="preserve">Zelt-Aufbau + Hussen + Banner</t>
  </si>
  <si>
    <t xml:space="preserve">Beachflags aufstellen</t>
  </si>
  <si>
    <t xml:space="preserve">Hüpfburg aufstellen + Sicherheitscheck</t>
  </si>
  <si>
    <t xml:space="preserve">Getränke kühlen (Kühlboxen!)</t>
  </si>
  <si>
    <t xml:space="preserve">Giveaway-Stationen einrichten</t>
  </si>
  <si>
    <t xml:space="preserve">Strom + Beleuchtung checken</t>
  </si>
  <si>
    <t xml:space="preserve">WÄHREND DES EVENTS</t>
  </si>
  <si>
    <t xml:space="preserve">Merch-Nachschub im Auge behalten</t>
  </si>
  <si>
    <t xml:space="preserve">Social Media: Live-Posts, Stories, Fotos</t>
  </si>
  <si>
    <t xml:space="preserve">Getränke / Riegel nachfüllen</t>
  </si>
  <si>
    <t xml:space="preserve">Kinder-Bereich betreuen (Hüpfburg)</t>
  </si>
  <si>
    <t xml:space="preserve">Leads sammeln (QR-Code, Gespräche)</t>
  </si>
  <si>
    <t xml:space="preserve">Goodie Bags an Sieger überreichen + Foto</t>
  </si>
  <si>
    <t xml:space="preserve">Klatschdinger bei Zieleinlauf verteilen</t>
  </si>
  <si>
    <t xml:space="preserve">NACH DEM EVENT</t>
  </si>
  <si>
    <t xml:space="preserve">Abbau + alles einladen</t>
  </si>
  <si>
    <t xml:space="preserve">Bestandsaufnahme: was ist übrig?</t>
  </si>
  <si>
    <t xml:space="preserve">Social Media Recap-Post</t>
  </si>
  <si>
    <t xml:space="preserve">Leads in CRM eintragen</t>
  </si>
  <si>
    <t xml:space="preserve">Wiederverwendbare Items einlagern</t>
  </si>
  <si>
    <t xml:space="preserve">Fotos sichten + für Website/LinkedIn nutzen</t>
  </si>
  <si>
    <t xml:space="preserve">Debrief: Was hat funktioniert?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</si>
</sst>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60B2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060B23"/>
      <name val="Arial"/>
      <family val="0"/>
      <charset val="1"/>
    </font>
    <font>
      <sz val="1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60B23"/>
        <bgColor rgb="FF000000"/>
      </patternFill>
    </fill>
    <fill>
      <patternFill patternType="solid">
        <fgColor rgb="FFFFF3E0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3E0"/>
      </patternFill>
    </fill>
    <fill>
      <patternFill patternType="solid">
        <fgColor rgb="FFFAA41A"/>
        <bgColor rgb="FFFFCC00"/>
      </patternFill>
    </fill>
    <fill>
      <patternFill patternType="solid">
        <fgColor rgb="FF33335C"/>
        <bgColor rgb="FF003366"/>
      </patternFill>
    </fill>
    <fill>
      <patternFill patternType="solid">
        <fgColor rgb="FF555555"/>
        <bgColor rgb="FF666666"/>
      </patternFill>
    </fill>
    <fill>
      <patternFill patternType="solid">
        <fgColor rgb="FFC6282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0B23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F5F5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AA41A"/>
      <rgbColor rgb="FFFF6600"/>
      <rgbColor rgb="FF666666"/>
      <rgbColor rgb="FF969696"/>
      <rgbColor rgb="FF003366"/>
      <rgbColor rgb="FF4CAF50"/>
      <rgbColor rgb="FF003300"/>
      <rgbColor rgb="FF333300"/>
      <rgbColor rgb="FFC62828"/>
      <rgbColor rgb="FF993366"/>
      <rgbColor rgb="FF555555"/>
      <rgbColor rgb="FF3333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A41A"/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11" min="6" style="0" width="12"/>
    <col collapsed="false" customWidth="true" hidden="false" outlineLevel="0" max="12" min="12" style="0" width="16"/>
    <col collapsed="false" customWidth="true" hidden="false" outlineLevel="0" max="13" min="13" style="0" width="35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4.75" hidden="false" customHeight="true" outlineLevel="0" collapsed="false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4.5" hidden="false" customHeight="true" outlineLevel="0" collapsed="false">
      <c r="A3" s="3" t="s">
        <v>14</v>
      </c>
      <c r="B3" s="3" t="s">
        <v>15</v>
      </c>
      <c r="C3" s="3" t="s">
        <v>16</v>
      </c>
      <c r="D3" s="4" t="n">
        <v>20</v>
      </c>
      <c r="E3" s="3" t="s">
        <v>17</v>
      </c>
      <c r="F3" s="5" t="n">
        <v>8</v>
      </c>
      <c r="G3" s="5" t="n">
        <v>15</v>
      </c>
      <c r="H3" s="5" t="n">
        <v>25</v>
      </c>
      <c r="I3" s="6" t="n">
        <f aca="false">D3*F3</f>
        <v>160</v>
      </c>
      <c r="J3" s="6" t="n">
        <f aca="false">D3*G3</f>
        <v>300</v>
      </c>
      <c r="K3" s="6" t="n">
        <f aca="false">D3*H3</f>
        <v>500</v>
      </c>
      <c r="L3" s="4" t="s">
        <v>18</v>
      </c>
      <c r="M3" s="3" t="s">
        <v>19</v>
      </c>
    </row>
    <row r="4" customFormat="false" ht="34.5" hidden="false" customHeight="true" outlineLevel="0" collapsed="false">
      <c r="A4" s="7" t="s">
        <v>14</v>
      </c>
      <c r="B4" s="7" t="s">
        <v>20</v>
      </c>
      <c r="C4" s="7" t="s">
        <v>21</v>
      </c>
      <c r="D4" s="8" t="n">
        <v>15</v>
      </c>
      <c r="E4" s="7" t="s">
        <v>22</v>
      </c>
      <c r="F4" s="9" t="n">
        <v>18</v>
      </c>
      <c r="G4" s="9" t="n">
        <v>30</v>
      </c>
      <c r="H4" s="9" t="n">
        <v>45</v>
      </c>
      <c r="I4" s="10" t="n">
        <f aca="false">D4*F4</f>
        <v>270</v>
      </c>
      <c r="J4" s="10" t="n">
        <f aca="false">D4*G4</f>
        <v>450</v>
      </c>
      <c r="K4" s="10" t="n">
        <f aca="false">D4*H4</f>
        <v>675</v>
      </c>
      <c r="L4" s="8" t="s">
        <v>18</v>
      </c>
      <c r="M4" s="7" t="s">
        <v>23</v>
      </c>
    </row>
    <row r="5" customFormat="false" ht="34.5" hidden="false" customHeight="true" outlineLevel="0" collapsed="false">
      <c r="A5" s="3" t="s">
        <v>14</v>
      </c>
      <c r="B5" s="3" t="s">
        <v>24</v>
      </c>
      <c r="C5" s="3" t="s">
        <v>25</v>
      </c>
      <c r="D5" s="4" t="n">
        <v>8</v>
      </c>
      <c r="E5" s="3" t="s">
        <v>26</v>
      </c>
      <c r="F5" s="5" t="n">
        <v>15</v>
      </c>
      <c r="G5" s="5" t="n">
        <v>30</v>
      </c>
      <c r="H5" s="5" t="n">
        <v>50</v>
      </c>
      <c r="I5" s="6" t="n">
        <f aca="false">D5*F5</f>
        <v>120</v>
      </c>
      <c r="J5" s="6" t="n">
        <f aca="false">D5*G5</f>
        <v>240</v>
      </c>
      <c r="K5" s="6" t="n">
        <f aca="false">D5*H5</f>
        <v>400</v>
      </c>
      <c r="L5" s="4" t="s">
        <v>18</v>
      </c>
      <c r="M5" s="3" t="s">
        <v>27</v>
      </c>
    </row>
    <row r="6" customFormat="false" ht="34.5" hidden="false" customHeight="true" outlineLevel="0" collapsed="false">
      <c r="A6" s="7" t="s">
        <v>14</v>
      </c>
      <c r="B6" s="7" t="s">
        <v>28</v>
      </c>
      <c r="C6" s="7" t="s">
        <v>29</v>
      </c>
      <c r="D6" s="8" t="n">
        <v>20</v>
      </c>
      <c r="E6" s="7" t="s">
        <v>30</v>
      </c>
      <c r="F6" s="9" t="n">
        <v>5</v>
      </c>
      <c r="G6" s="9" t="n">
        <v>10</v>
      </c>
      <c r="H6" s="9" t="n">
        <v>18</v>
      </c>
      <c r="I6" s="10" t="n">
        <f aca="false">D6*F6</f>
        <v>100</v>
      </c>
      <c r="J6" s="10" t="n">
        <f aca="false">D6*G6</f>
        <v>200</v>
      </c>
      <c r="K6" s="10" t="n">
        <f aca="false">D6*H6</f>
        <v>360</v>
      </c>
      <c r="L6" s="8" t="s">
        <v>18</v>
      </c>
      <c r="M6" s="7" t="s">
        <v>31</v>
      </c>
    </row>
    <row r="7" customFormat="false" ht="34.5" hidden="false" customHeight="true" outlineLevel="0" collapsed="false">
      <c r="A7" s="3" t="s">
        <v>14</v>
      </c>
      <c r="B7" s="3" t="s">
        <v>32</v>
      </c>
      <c r="C7" s="3" t="s">
        <v>33</v>
      </c>
      <c r="D7" s="4" t="n">
        <v>20</v>
      </c>
      <c r="E7" s="3" t="s">
        <v>34</v>
      </c>
      <c r="F7" s="5" t="n">
        <v>4</v>
      </c>
      <c r="G7" s="5" t="n">
        <v>8</v>
      </c>
      <c r="H7" s="5" t="n">
        <v>15</v>
      </c>
      <c r="I7" s="6" t="n">
        <f aca="false">D7*F7</f>
        <v>80</v>
      </c>
      <c r="J7" s="6" t="n">
        <f aca="false">D7*G7</f>
        <v>160</v>
      </c>
      <c r="K7" s="6" t="n">
        <f aca="false">D7*H7</f>
        <v>300</v>
      </c>
      <c r="L7" s="4" t="s">
        <v>18</v>
      </c>
      <c r="M7" s="3" t="s">
        <v>35</v>
      </c>
    </row>
    <row r="8" customFormat="false" ht="24.75" hidden="false" customHeight="true" outlineLevel="0" collapsed="false">
      <c r="A8" s="2" t="s">
        <v>36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34.5" hidden="false" customHeight="true" outlineLevel="0" collapsed="false">
      <c r="A9" s="3" t="s">
        <v>37</v>
      </c>
      <c r="B9" s="3" t="s">
        <v>38</v>
      </c>
      <c r="C9" s="3" t="s">
        <v>39</v>
      </c>
      <c r="D9" s="4" t="n">
        <v>6</v>
      </c>
      <c r="E9" s="3" t="s">
        <v>40</v>
      </c>
      <c r="F9" s="5" t="n">
        <v>15</v>
      </c>
      <c r="G9" s="5" t="n">
        <v>30</v>
      </c>
      <c r="H9" s="5" t="n">
        <v>50</v>
      </c>
      <c r="I9" s="6" t="n">
        <f aca="false">D9*F9</f>
        <v>90</v>
      </c>
      <c r="J9" s="6" t="n">
        <f aca="false">D9*G9</f>
        <v>180</v>
      </c>
      <c r="K9" s="6" t="n">
        <f aca="false">D9*H9</f>
        <v>300</v>
      </c>
      <c r="L9" s="4" t="s">
        <v>18</v>
      </c>
      <c r="M9" s="3" t="s">
        <v>41</v>
      </c>
    </row>
    <row r="10" customFormat="false" ht="34.5" hidden="false" customHeight="true" outlineLevel="0" collapsed="false">
      <c r="A10" s="7" t="s">
        <v>37</v>
      </c>
      <c r="B10" s="7" t="s">
        <v>42</v>
      </c>
      <c r="C10" s="7" t="s">
        <v>43</v>
      </c>
      <c r="D10" s="8" t="n">
        <v>10</v>
      </c>
      <c r="E10" s="7" t="s">
        <v>44</v>
      </c>
      <c r="F10" s="9" t="n">
        <v>20</v>
      </c>
      <c r="G10" s="9" t="n">
        <v>40</v>
      </c>
      <c r="H10" s="9" t="n">
        <v>70</v>
      </c>
      <c r="I10" s="10" t="n">
        <f aca="false">D10*F10</f>
        <v>200</v>
      </c>
      <c r="J10" s="10" t="n">
        <f aca="false">D10*G10</f>
        <v>400</v>
      </c>
      <c r="K10" s="10" t="n">
        <f aca="false">D10*H10</f>
        <v>700</v>
      </c>
      <c r="L10" s="8" t="s">
        <v>18</v>
      </c>
      <c r="M10" s="7" t="s">
        <v>45</v>
      </c>
    </row>
    <row r="11" customFormat="false" ht="34.5" hidden="false" customHeight="true" outlineLevel="0" collapsed="false">
      <c r="A11" s="3" t="s">
        <v>37</v>
      </c>
      <c r="B11" s="3" t="s">
        <v>46</v>
      </c>
      <c r="C11" s="3" t="s">
        <v>47</v>
      </c>
      <c r="D11" s="4" t="n">
        <v>4</v>
      </c>
      <c r="E11" s="3" t="s">
        <v>48</v>
      </c>
      <c r="F11" s="5" t="n">
        <v>30</v>
      </c>
      <c r="G11" s="5" t="n">
        <v>60</v>
      </c>
      <c r="H11" s="5" t="n">
        <v>120</v>
      </c>
      <c r="I11" s="6" t="n">
        <f aca="false">D11*F11</f>
        <v>120</v>
      </c>
      <c r="J11" s="6" t="n">
        <f aca="false">D11*G11</f>
        <v>240</v>
      </c>
      <c r="K11" s="6" t="n">
        <f aca="false">D11*H11</f>
        <v>480</v>
      </c>
      <c r="L11" s="4" t="s">
        <v>18</v>
      </c>
      <c r="M11" s="3" t="s">
        <v>49</v>
      </c>
    </row>
    <row r="12" customFormat="false" ht="34.5" hidden="false" customHeight="true" outlineLevel="0" collapsed="false">
      <c r="A12" s="7" t="s">
        <v>37</v>
      </c>
      <c r="B12" s="7" t="s">
        <v>50</v>
      </c>
      <c r="C12" s="7" t="s">
        <v>51</v>
      </c>
      <c r="D12" s="8" t="n">
        <v>15</v>
      </c>
      <c r="E12" s="7" t="s">
        <v>52</v>
      </c>
      <c r="F12" s="9" t="n">
        <v>8</v>
      </c>
      <c r="G12" s="9" t="n">
        <v>15</v>
      </c>
      <c r="H12" s="9" t="n">
        <v>25</v>
      </c>
      <c r="I12" s="10" t="n">
        <f aca="false">D12*F12</f>
        <v>120</v>
      </c>
      <c r="J12" s="10" t="n">
        <f aca="false">D12*G12</f>
        <v>225</v>
      </c>
      <c r="K12" s="10" t="n">
        <f aca="false">D12*H12</f>
        <v>375</v>
      </c>
      <c r="L12" s="8" t="s">
        <v>18</v>
      </c>
      <c r="M12" s="7" t="s">
        <v>53</v>
      </c>
    </row>
    <row r="13" customFormat="false" ht="34.5" hidden="false" customHeight="true" outlineLevel="0" collapsed="false">
      <c r="A13" s="3" t="s">
        <v>37</v>
      </c>
      <c r="B13" s="3" t="s">
        <v>54</v>
      </c>
      <c r="C13" s="3" t="s">
        <v>55</v>
      </c>
      <c r="D13" s="4" t="n">
        <v>4</v>
      </c>
      <c r="E13" s="3" t="s">
        <v>56</v>
      </c>
      <c r="F13" s="5" t="n">
        <v>40</v>
      </c>
      <c r="G13" s="5" t="n">
        <v>80</v>
      </c>
      <c r="H13" s="5" t="n">
        <v>130</v>
      </c>
      <c r="I13" s="6" t="n">
        <f aca="false">D13*F13</f>
        <v>160</v>
      </c>
      <c r="J13" s="6" t="n">
        <f aca="false">D13*G13</f>
        <v>320</v>
      </c>
      <c r="K13" s="6" t="n">
        <f aca="false">D13*H13</f>
        <v>520</v>
      </c>
      <c r="L13" s="4" t="s">
        <v>18</v>
      </c>
      <c r="M13" s="3" t="s">
        <v>57</v>
      </c>
    </row>
    <row r="14" customFormat="false" ht="34.5" hidden="false" customHeight="true" outlineLevel="0" collapsed="false">
      <c r="A14" s="7" t="s">
        <v>37</v>
      </c>
      <c r="B14" s="7" t="s">
        <v>58</v>
      </c>
      <c r="C14" s="7" t="s">
        <v>59</v>
      </c>
      <c r="D14" s="8" t="n">
        <v>4</v>
      </c>
      <c r="E14" s="7" t="s">
        <v>60</v>
      </c>
      <c r="F14" s="9" t="n">
        <v>25</v>
      </c>
      <c r="G14" s="9" t="n">
        <v>50</v>
      </c>
      <c r="H14" s="9" t="n">
        <v>100</v>
      </c>
      <c r="I14" s="10" t="n">
        <f aca="false">D14*F14</f>
        <v>100</v>
      </c>
      <c r="J14" s="10" t="n">
        <f aca="false">D14*G14</f>
        <v>200</v>
      </c>
      <c r="K14" s="10" t="n">
        <f aca="false">D14*H14</f>
        <v>400</v>
      </c>
      <c r="L14" s="8" t="s">
        <v>18</v>
      </c>
      <c r="M14" s="7" t="s">
        <v>61</v>
      </c>
    </row>
    <row r="15" customFormat="false" ht="24.75" hidden="false" customHeight="true" outlineLevel="0" collapsed="false">
      <c r="A15" s="2" t="s">
        <v>62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34.5" hidden="false" customHeight="true" outlineLevel="0" collapsed="false">
      <c r="A16" s="3" t="s">
        <v>63</v>
      </c>
      <c r="B16" s="3" t="s">
        <v>64</v>
      </c>
      <c r="C16" s="3" t="s">
        <v>65</v>
      </c>
      <c r="D16" s="4" t="n">
        <v>30</v>
      </c>
      <c r="E16" s="3" t="s">
        <v>66</v>
      </c>
      <c r="F16" s="5" t="n">
        <v>5</v>
      </c>
      <c r="G16" s="5" t="n">
        <v>12</v>
      </c>
      <c r="H16" s="5" t="n">
        <v>22</v>
      </c>
      <c r="I16" s="6" t="n">
        <f aca="false">D16*F16</f>
        <v>150</v>
      </c>
      <c r="J16" s="6" t="n">
        <f aca="false">D16*G16</f>
        <v>360</v>
      </c>
      <c r="K16" s="6" t="n">
        <f aca="false">D16*H16</f>
        <v>660</v>
      </c>
      <c r="L16" s="4" t="s">
        <v>18</v>
      </c>
      <c r="M16" s="3" t="s">
        <v>67</v>
      </c>
    </row>
    <row r="17" customFormat="false" ht="34.5" hidden="false" customHeight="true" outlineLevel="0" collapsed="false">
      <c r="A17" s="7" t="s">
        <v>63</v>
      </c>
      <c r="B17" s="7" t="s">
        <v>68</v>
      </c>
      <c r="C17" s="7" t="s">
        <v>69</v>
      </c>
      <c r="D17" s="8" t="n">
        <v>50</v>
      </c>
      <c r="E17" s="7" t="s">
        <v>70</v>
      </c>
      <c r="F17" s="9" t="n">
        <v>5</v>
      </c>
      <c r="G17" s="9" t="n">
        <v>12</v>
      </c>
      <c r="H17" s="9" t="n">
        <v>20</v>
      </c>
      <c r="I17" s="10" t="n">
        <f aca="false">D17*F17</f>
        <v>250</v>
      </c>
      <c r="J17" s="10" t="n">
        <f aca="false">D17*G17</f>
        <v>600</v>
      </c>
      <c r="K17" s="10" t="n">
        <f aca="false">D17*H17</f>
        <v>1000</v>
      </c>
      <c r="L17" s="8" t="s">
        <v>18</v>
      </c>
      <c r="M17" s="7" t="s">
        <v>71</v>
      </c>
    </row>
    <row r="18" customFormat="false" ht="34.5" hidden="false" customHeight="true" outlineLevel="0" collapsed="false">
      <c r="A18" s="3" t="s">
        <v>63</v>
      </c>
      <c r="B18" s="3" t="s">
        <v>72</v>
      </c>
      <c r="C18" s="3" t="s">
        <v>73</v>
      </c>
      <c r="D18" s="4" t="n">
        <v>50</v>
      </c>
      <c r="E18" s="3" t="s">
        <v>70</v>
      </c>
      <c r="F18" s="5" t="n">
        <v>4</v>
      </c>
      <c r="G18" s="5" t="n">
        <v>10</v>
      </c>
      <c r="H18" s="5" t="n">
        <v>18</v>
      </c>
      <c r="I18" s="6" t="n">
        <f aca="false">D18*F18</f>
        <v>200</v>
      </c>
      <c r="J18" s="6" t="n">
        <f aca="false">D18*G18</f>
        <v>500</v>
      </c>
      <c r="K18" s="6" t="n">
        <f aca="false">D18*H18</f>
        <v>900</v>
      </c>
      <c r="L18" s="4" t="s">
        <v>18</v>
      </c>
      <c r="M18" s="3" t="s">
        <v>74</v>
      </c>
    </row>
    <row r="19" customFormat="false" ht="34.5" hidden="false" customHeight="true" outlineLevel="0" collapsed="false">
      <c r="A19" s="7" t="s">
        <v>63</v>
      </c>
      <c r="B19" s="7" t="s">
        <v>75</v>
      </c>
      <c r="C19" s="7" t="s">
        <v>76</v>
      </c>
      <c r="D19" s="8" t="n">
        <v>30</v>
      </c>
      <c r="E19" s="7" t="s">
        <v>77</v>
      </c>
      <c r="F19" s="9" t="n">
        <v>3</v>
      </c>
      <c r="G19" s="9" t="n">
        <v>6</v>
      </c>
      <c r="H19" s="9" t="n">
        <v>12</v>
      </c>
      <c r="I19" s="10" t="n">
        <f aca="false">D19*F19</f>
        <v>90</v>
      </c>
      <c r="J19" s="10" t="n">
        <f aca="false">D19*G19</f>
        <v>180</v>
      </c>
      <c r="K19" s="10" t="n">
        <f aca="false">D19*H19</f>
        <v>360</v>
      </c>
      <c r="L19" s="8" t="s">
        <v>18</v>
      </c>
      <c r="M19" s="7" t="s">
        <v>78</v>
      </c>
    </row>
    <row r="20" customFormat="false" ht="24.75" hidden="false" customHeight="true" outlineLevel="0" collapsed="false">
      <c r="A20" s="2" t="s">
        <v>79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customFormat="false" ht="34.5" hidden="false" customHeight="true" outlineLevel="0" collapsed="false">
      <c r="A21" s="3" t="s">
        <v>80</v>
      </c>
      <c r="B21" s="3" t="s">
        <v>81</v>
      </c>
      <c r="C21" s="3" t="s">
        <v>82</v>
      </c>
      <c r="D21" s="4" t="n">
        <v>300</v>
      </c>
      <c r="E21" s="3" t="s">
        <v>83</v>
      </c>
      <c r="F21" s="5" t="n">
        <v>0.8</v>
      </c>
      <c r="G21" s="5" t="n">
        <v>1.5</v>
      </c>
      <c r="H21" s="5" t="n">
        <v>3</v>
      </c>
      <c r="I21" s="6" t="n">
        <f aca="false">D21*F21</f>
        <v>240</v>
      </c>
      <c r="J21" s="6" t="n">
        <f aca="false">D21*G21</f>
        <v>450</v>
      </c>
      <c r="K21" s="6" t="n">
        <f aca="false">D21*H21</f>
        <v>900</v>
      </c>
      <c r="L21" s="4" t="s">
        <v>84</v>
      </c>
      <c r="M21" s="3" t="s">
        <v>85</v>
      </c>
    </row>
    <row r="22" customFormat="false" ht="34.5" hidden="false" customHeight="true" outlineLevel="0" collapsed="false">
      <c r="A22" s="7" t="s">
        <v>80</v>
      </c>
      <c r="B22" s="7" t="s">
        <v>86</v>
      </c>
      <c r="C22" s="7" t="s">
        <v>87</v>
      </c>
      <c r="D22" s="8" t="n">
        <v>500</v>
      </c>
      <c r="E22" s="7" t="s">
        <v>88</v>
      </c>
      <c r="F22" s="9" t="n">
        <v>0.15</v>
      </c>
      <c r="G22" s="9" t="n">
        <v>0.3</v>
      </c>
      <c r="H22" s="9" t="n">
        <v>0.5</v>
      </c>
      <c r="I22" s="10" t="n">
        <f aca="false">D22*F22</f>
        <v>75</v>
      </c>
      <c r="J22" s="10" t="n">
        <f aca="false">D22*G22</f>
        <v>150</v>
      </c>
      <c r="K22" s="10" t="n">
        <f aca="false">D22*H22</f>
        <v>250</v>
      </c>
      <c r="L22" s="8" t="s">
        <v>84</v>
      </c>
      <c r="M22" s="7" t="s">
        <v>89</v>
      </c>
    </row>
    <row r="23" customFormat="false" ht="34.5" hidden="false" customHeight="true" outlineLevel="0" collapsed="false">
      <c r="A23" s="3" t="s">
        <v>80</v>
      </c>
      <c r="B23" s="3" t="s">
        <v>90</v>
      </c>
      <c r="C23" s="3" t="s">
        <v>91</v>
      </c>
      <c r="D23" s="4" t="n">
        <v>200</v>
      </c>
      <c r="E23" s="3" t="s">
        <v>92</v>
      </c>
      <c r="F23" s="5" t="n">
        <v>0.8</v>
      </c>
      <c r="G23" s="5" t="n">
        <v>1.5</v>
      </c>
      <c r="H23" s="5" t="n">
        <v>3</v>
      </c>
      <c r="I23" s="6" t="n">
        <f aca="false">D23*F23</f>
        <v>160</v>
      </c>
      <c r="J23" s="6" t="n">
        <f aca="false">D23*G23</f>
        <v>300</v>
      </c>
      <c r="K23" s="6" t="n">
        <f aca="false">D23*H23</f>
        <v>600</v>
      </c>
      <c r="L23" s="4" t="s">
        <v>84</v>
      </c>
      <c r="M23" s="3" t="s">
        <v>93</v>
      </c>
    </row>
    <row r="24" customFormat="false" ht="34.5" hidden="false" customHeight="true" outlineLevel="0" collapsed="false">
      <c r="A24" s="7" t="s">
        <v>80</v>
      </c>
      <c r="B24" s="7" t="s">
        <v>94</v>
      </c>
      <c r="C24" s="7" t="s">
        <v>95</v>
      </c>
      <c r="D24" s="8" t="n">
        <v>500</v>
      </c>
      <c r="E24" s="7" t="s">
        <v>96</v>
      </c>
      <c r="F24" s="9" t="n">
        <v>0.3</v>
      </c>
      <c r="G24" s="9" t="n">
        <v>0.6</v>
      </c>
      <c r="H24" s="9" t="n">
        <v>1</v>
      </c>
      <c r="I24" s="10" t="n">
        <f aca="false">D24*F24</f>
        <v>150</v>
      </c>
      <c r="J24" s="10" t="n">
        <f aca="false">D24*G24</f>
        <v>300</v>
      </c>
      <c r="K24" s="10" t="n">
        <f aca="false">D24*H24</f>
        <v>500</v>
      </c>
      <c r="L24" s="8" t="s">
        <v>84</v>
      </c>
      <c r="M24" s="7" t="s">
        <v>97</v>
      </c>
    </row>
    <row r="25" customFormat="false" ht="34.5" hidden="false" customHeight="true" outlineLevel="0" collapsed="false">
      <c r="A25" s="3" t="s">
        <v>80</v>
      </c>
      <c r="B25" s="3" t="s">
        <v>98</v>
      </c>
      <c r="C25" s="3" t="s">
        <v>99</v>
      </c>
      <c r="D25" s="4" t="n">
        <v>150</v>
      </c>
      <c r="E25" s="3" t="s">
        <v>100</v>
      </c>
      <c r="F25" s="5" t="n">
        <v>2</v>
      </c>
      <c r="G25" s="5" t="n">
        <v>4</v>
      </c>
      <c r="H25" s="5" t="n">
        <v>7</v>
      </c>
      <c r="I25" s="6" t="n">
        <f aca="false">D25*F25</f>
        <v>300</v>
      </c>
      <c r="J25" s="6" t="n">
        <f aca="false">D25*G25</f>
        <v>600</v>
      </c>
      <c r="K25" s="6" t="n">
        <f aca="false">D25*H25</f>
        <v>1050</v>
      </c>
      <c r="L25" s="4" t="s">
        <v>18</v>
      </c>
      <c r="M25" s="3" t="s">
        <v>101</v>
      </c>
    </row>
    <row r="26" customFormat="false" ht="34.5" hidden="false" customHeight="true" outlineLevel="0" collapsed="false">
      <c r="A26" s="7" t="s">
        <v>80</v>
      </c>
      <c r="B26" s="7" t="s">
        <v>102</v>
      </c>
      <c r="C26" s="7" t="s">
        <v>103</v>
      </c>
      <c r="D26" s="8" t="n">
        <v>500</v>
      </c>
      <c r="E26" s="7" t="s">
        <v>104</v>
      </c>
      <c r="F26" s="9" t="n">
        <v>0.3</v>
      </c>
      <c r="G26" s="9" t="n">
        <v>0.6</v>
      </c>
      <c r="H26" s="9" t="n">
        <v>1.2</v>
      </c>
      <c r="I26" s="10" t="n">
        <f aca="false">D26*F26</f>
        <v>150</v>
      </c>
      <c r="J26" s="10" t="n">
        <f aca="false">D26*G26</f>
        <v>300</v>
      </c>
      <c r="K26" s="10" t="n">
        <f aca="false">D26*H26</f>
        <v>600</v>
      </c>
      <c r="L26" s="8" t="s">
        <v>84</v>
      </c>
      <c r="M26" s="7" t="s">
        <v>105</v>
      </c>
    </row>
    <row r="27" customFormat="false" ht="34.5" hidden="false" customHeight="true" outlineLevel="0" collapsed="false">
      <c r="A27" s="3" t="s">
        <v>80</v>
      </c>
      <c r="B27" s="3" t="s">
        <v>106</v>
      </c>
      <c r="C27" s="3" t="s">
        <v>107</v>
      </c>
      <c r="D27" s="4" t="n">
        <v>500</v>
      </c>
      <c r="E27" s="3" t="s">
        <v>108</v>
      </c>
      <c r="F27" s="5" t="n">
        <v>0.2</v>
      </c>
      <c r="G27" s="5" t="n">
        <v>0.5</v>
      </c>
      <c r="H27" s="5" t="n">
        <v>1</v>
      </c>
      <c r="I27" s="6" t="n">
        <f aca="false">D27*F27</f>
        <v>100</v>
      </c>
      <c r="J27" s="6" t="n">
        <f aca="false">D27*G27</f>
        <v>250</v>
      </c>
      <c r="K27" s="6" t="n">
        <f aca="false">D27*H27</f>
        <v>500</v>
      </c>
      <c r="L27" s="4" t="s">
        <v>84</v>
      </c>
      <c r="M27" s="3" t="s">
        <v>109</v>
      </c>
    </row>
    <row r="28" customFormat="false" ht="34.5" hidden="false" customHeight="true" outlineLevel="0" collapsed="false">
      <c r="A28" s="7" t="s">
        <v>80</v>
      </c>
      <c r="B28" s="7" t="s">
        <v>110</v>
      </c>
      <c r="C28" s="7" t="s">
        <v>111</v>
      </c>
      <c r="D28" s="8" t="n">
        <v>200</v>
      </c>
      <c r="E28" s="7" t="s">
        <v>112</v>
      </c>
      <c r="F28" s="9" t="n">
        <v>0.8</v>
      </c>
      <c r="G28" s="9" t="n">
        <v>1.5</v>
      </c>
      <c r="H28" s="9" t="n">
        <v>3</v>
      </c>
      <c r="I28" s="10" t="n">
        <f aca="false">D28*F28</f>
        <v>160</v>
      </c>
      <c r="J28" s="10" t="n">
        <f aca="false">D28*G28</f>
        <v>300</v>
      </c>
      <c r="K28" s="10" t="n">
        <f aca="false">D28*H28</f>
        <v>600</v>
      </c>
      <c r="L28" s="8" t="s">
        <v>84</v>
      </c>
      <c r="M28" s="7" t="s">
        <v>113</v>
      </c>
    </row>
    <row r="29" customFormat="false" ht="24.75" hidden="false" customHeight="true" outlineLevel="0" collapsed="false">
      <c r="A29" s="2" t="s">
        <v>114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34.5" hidden="false" customHeight="true" outlineLevel="0" collapsed="false">
      <c r="A30" s="3" t="s">
        <v>115</v>
      </c>
      <c r="B30" s="3" t="s">
        <v>116</v>
      </c>
      <c r="C30" s="3" t="s">
        <v>117</v>
      </c>
      <c r="D30" s="4" t="n">
        <v>300</v>
      </c>
      <c r="E30" s="3" t="s">
        <v>118</v>
      </c>
      <c r="F30" s="5" t="n">
        <v>0.5</v>
      </c>
      <c r="G30" s="5" t="n">
        <v>0.8</v>
      </c>
      <c r="H30" s="5" t="n">
        <v>1.5</v>
      </c>
      <c r="I30" s="6" t="n">
        <f aca="false">D30*F30</f>
        <v>150</v>
      </c>
      <c r="J30" s="6" t="n">
        <f aca="false">D30*G30</f>
        <v>240</v>
      </c>
      <c r="K30" s="6" t="n">
        <f aca="false">D30*H30</f>
        <v>450</v>
      </c>
      <c r="L30" s="4" t="s">
        <v>84</v>
      </c>
      <c r="M30" s="3" t="s">
        <v>119</v>
      </c>
    </row>
    <row r="31" customFormat="false" ht="34.5" hidden="false" customHeight="true" outlineLevel="0" collapsed="false">
      <c r="A31" s="7" t="s">
        <v>115</v>
      </c>
      <c r="B31" s="7" t="s">
        <v>120</v>
      </c>
      <c r="C31" s="7" t="s">
        <v>121</v>
      </c>
      <c r="D31" s="8" t="n">
        <v>300</v>
      </c>
      <c r="E31" s="7" t="s">
        <v>118</v>
      </c>
      <c r="F31" s="9" t="n">
        <v>0.3</v>
      </c>
      <c r="G31" s="9" t="n">
        <v>0.5</v>
      </c>
      <c r="H31" s="9" t="n">
        <v>0.8</v>
      </c>
      <c r="I31" s="10" t="n">
        <f aca="false">D31*F31</f>
        <v>90</v>
      </c>
      <c r="J31" s="10" t="n">
        <f aca="false">D31*G31</f>
        <v>150</v>
      </c>
      <c r="K31" s="10" t="n">
        <f aca="false">D31*H31</f>
        <v>240</v>
      </c>
      <c r="L31" s="8" t="s">
        <v>84</v>
      </c>
      <c r="M31" s="7" t="s">
        <v>122</v>
      </c>
    </row>
    <row r="32" customFormat="false" ht="34.5" hidden="false" customHeight="true" outlineLevel="0" collapsed="false">
      <c r="A32" s="3" t="s">
        <v>115</v>
      </c>
      <c r="B32" s="3" t="s">
        <v>123</v>
      </c>
      <c r="C32" s="3" t="s">
        <v>124</v>
      </c>
      <c r="D32" s="4" t="n">
        <v>500</v>
      </c>
      <c r="E32" s="3" t="s">
        <v>125</v>
      </c>
      <c r="F32" s="5" t="n">
        <v>0.15</v>
      </c>
      <c r="G32" s="5" t="n">
        <v>0.25</v>
      </c>
      <c r="H32" s="5" t="n">
        <v>0.4</v>
      </c>
      <c r="I32" s="6" t="n">
        <f aca="false">D32*F32</f>
        <v>75</v>
      </c>
      <c r="J32" s="6" t="n">
        <f aca="false">D32*G32</f>
        <v>125</v>
      </c>
      <c r="K32" s="6" t="n">
        <f aca="false">D32*H32</f>
        <v>200</v>
      </c>
      <c r="L32" s="4" t="s">
        <v>84</v>
      </c>
      <c r="M32" s="3" t="s">
        <v>126</v>
      </c>
    </row>
    <row r="33" customFormat="false" ht="24.75" hidden="false" customHeight="true" outlineLevel="0" collapsed="false">
      <c r="A33" s="2" t="s">
        <v>127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34.5" hidden="false" customHeight="true" outlineLevel="0" collapsed="false">
      <c r="A34" s="3" t="s">
        <v>128</v>
      </c>
      <c r="B34" s="3" t="s">
        <v>129</v>
      </c>
      <c r="C34" s="3" t="s">
        <v>130</v>
      </c>
      <c r="D34" s="4" t="n">
        <v>50</v>
      </c>
      <c r="E34" s="3" t="s">
        <v>131</v>
      </c>
      <c r="F34" s="5" t="n">
        <v>4</v>
      </c>
      <c r="G34" s="5" t="n">
        <v>8</v>
      </c>
      <c r="H34" s="5" t="n">
        <v>15</v>
      </c>
      <c r="I34" s="6" t="n">
        <f aca="false">D34*F34</f>
        <v>200</v>
      </c>
      <c r="J34" s="6" t="n">
        <f aca="false">D34*G34</f>
        <v>400</v>
      </c>
      <c r="K34" s="6" t="n">
        <f aca="false">D34*H34</f>
        <v>750</v>
      </c>
      <c r="L34" s="4" t="s">
        <v>18</v>
      </c>
      <c r="M34" s="3" t="s">
        <v>132</v>
      </c>
    </row>
    <row r="35" customFormat="false" ht="34.5" hidden="false" customHeight="true" outlineLevel="0" collapsed="false">
      <c r="A35" s="7" t="s">
        <v>128</v>
      </c>
      <c r="B35" s="7" t="s">
        <v>133</v>
      </c>
      <c r="C35" s="7" t="s">
        <v>134</v>
      </c>
      <c r="D35" s="8" t="n">
        <v>500</v>
      </c>
      <c r="E35" s="7" t="s">
        <v>135</v>
      </c>
      <c r="F35" s="9" t="n">
        <v>0.3</v>
      </c>
      <c r="G35" s="9" t="n">
        <v>0.5</v>
      </c>
      <c r="H35" s="9" t="n">
        <v>0.8</v>
      </c>
      <c r="I35" s="10" t="n">
        <f aca="false">D35*F35</f>
        <v>150</v>
      </c>
      <c r="J35" s="10" t="n">
        <f aca="false">D35*G35</f>
        <v>250</v>
      </c>
      <c r="K35" s="10" t="n">
        <f aca="false">D35*H35</f>
        <v>400</v>
      </c>
      <c r="L35" s="8" t="s">
        <v>84</v>
      </c>
      <c r="M35" s="7" t="s">
        <v>136</v>
      </c>
    </row>
    <row r="36" customFormat="false" ht="34.5" hidden="false" customHeight="true" outlineLevel="0" collapsed="false">
      <c r="A36" s="3" t="s">
        <v>128</v>
      </c>
      <c r="B36" s="3" t="s">
        <v>137</v>
      </c>
      <c r="C36" s="3" t="s">
        <v>138</v>
      </c>
      <c r="D36" s="4" t="n">
        <v>500</v>
      </c>
      <c r="E36" s="3" t="s">
        <v>139</v>
      </c>
      <c r="F36" s="5" t="n">
        <v>0.1</v>
      </c>
      <c r="G36" s="5" t="n">
        <v>0.2</v>
      </c>
      <c r="H36" s="5" t="n">
        <v>0.4</v>
      </c>
      <c r="I36" s="6" t="n">
        <f aca="false">D36*F36</f>
        <v>50</v>
      </c>
      <c r="J36" s="6" t="n">
        <f aca="false">D36*G36</f>
        <v>100</v>
      </c>
      <c r="K36" s="6" t="n">
        <f aca="false">D36*H36</f>
        <v>200</v>
      </c>
      <c r="L36" s="4" t="s">
        <v>84</v>
      </c>
      <c r="M36" s="3" t="s">
        <v>140</v>
      </c>
    </row>
    <row r="37" customFormat="false" ht="34.5" hidden="false" customHeight="true" outlineLevel="0" collapsed="false">
      <c r="A37" s="7" t="s">
        <v>128</v>
      </c>
      <c r="B37" s="7" t="s">
        <v>141</v>
      </c>
      <c r="C37" s="7" t="s">
        <v>142</v>
      </c>
      <c r="D37" s="8" t="n">
        <v>300</v>
      </c>
      <c r="E37" s="7" t="s">
        <v>143</v>
      </c>
      <c r="F37" s="9" t="n">
        <v>0.5</v>
      </c>
      <c r="G37" s="9" t="n">
        <v>1</v>
      </c>
      <c r="H37" s="9" t="n">
        <v>2</v>
      </c>
      <c r="I37" s="10" t="n">
        <f aca="false">D37*F37</f>
        <v>150</v>
      </c>
      <c r="J37" s="10" t="n">
        <f aca="false">D37*G37</f>
        <v>300</v>
      </c>
      <c r="K37" s="10" t="n">
        <f aca="false">D37*H37</f>
        <v>600</v>
      </c>
      <c r="L37" s="8" t="s">
        <v>84</v>
      </c>
      <c r="M37" s="7" t="s">
        <v>144</v>
      </c>
    </row>
    <row r="38" customFormat="false" ht="34.5" hidden="false" customHeight="true" outlineLevel="0" collapsed="false">
      <c r="A38" s="3" t="s">
        <v>128</v>
      </c>
      <c r="B38" s="3" t="s">
        <v>145</v>
      </c>
      <c r="C38" s="3" t="s">
        <v>146</v>
      </c>
      <c r="D38" s="4" t="n">
        <v>200</v>
      </c>
      <c r="E38" s="3" t="s">
        <v>147</v>
      </c>
      <c r="F38" s="5" t="n">
        <v>1.5</v>
      </c>
      <c r="G38" s="5" t="n">
        <v>3</v>
      </c>
      <c r="H38" s="5" t="n">
        <v>5</v>
      </c>
      <c r="I38" s="6" t="n">
        <f aca="false">D38*F38</f>
        <v>300</v>
      </c>
      <c r="J38" s="6" t="n">
        <f aca="false">D38*G38</f>
        <v>600</v>
      </c>
      <c r="K38" s="6" t="n">
        <f aca="false">D38*H38</f>
        <v>1000</v>
      </c>
      <c r="L38" s="4" t="s">
        <v>18</v>
      </c>
      <c r="M38" s="3" t="s">
        <v>148</v>
      </c>
    </row>
    <row r="39" customFormat="false" ht="34.5" hidden="false" customHeight="true" outlineLevel="0" collapsed="false">
      <c r="A39" s="7" t="s">
        <v>128</v>
      </c>
      <c r="B39" s="7" t="s">
        <v>149</v>
      </c>
      <c r="C39" s="7" t="s">
        <v>150</v>
      </c>
      <c r="D39" s="8" t="n">
        <v>500</v>
      </c>
      <c r="E39" s="7" t="s">
        <v>151</v>
      </c>
      <c r="F39" s="9" t="n">
        <v>0.08</v>
      </c>
      <c r="G39" s="9" t="n">
        <v>0.15</v>
      </c>
      <c r="H39" s="9" t="n">
        <v>0.3</v>
      </c>
      <c r="I39" s="10" t="n">
        <f aca="false">D39*F39</f>
        <v>40</v>
      </c>
      <c r="J39" s="10" t="n">
        <f aca="false">D39*G39</f>
        <v>75</v>
      </c>
      <c r="K39" s="10" t="n">
        <f aca="false">D39*H39</f>
        <v>150</v>
      </c>
      <c r="L39" s="8" t="s">
        <v>84</v>
      </c>
      <c r="M39" s="7" t="s">
        <v>152</v>
      </c>
    </row>
    <row r="40" customFormat="false" ht="34.5" hidden="false" customHeight="true" outlineLevel="0" collapsed="false">
      <c r="A40" s="3" t="s">
        <v>128</v>
      </c>
      <c r="B40" s="3" t="s">
        <v>153</v>
      </c>
      <c r="C40" s="3" t="s">
        <v>154</v>
      </c>
      <c r="D40" s="4" t="n">
        <v>200</v>
      </c>
      <c r="E40" s="3" t="s">
        <v>155</v>
      </c>
      <c r="F40" s="5" t="n">
        <v>0.3</v>
      </c>
      <c r="G40" s="5" t="n">
        <v>0.6</v>
      </c>
      <c r="H40" s="5" t="n">
        <v>1.2</v>
      </c>
      <c r="I40" s="6" t="n">
        <f aca="false">D40*F40</f>
        <v>60</v>
      </c>
      <c r="J40" s="6" t="n">
        <f aca="false">D40*G40</f>
        <v>120</v>
      </c>
      <c r="K40" s="6" t="n">
        <f aca="false">D40*H40</f>
        <v>240</v>
      </c>
      <c r="L40" s="4" t="s">
        <v>84</v>
      </c>
      <c r="M40" s="3" t="s">
        <v>156</v>
      </c>
    </row>
    <row r="41" customFormat="false" ht="34.5" hidden="false" customHeight="true" outlineLevel="0" collapsed="false">
      <c r="A41" s="7" t="s">
        <v>128</v>
      </c>
      <c r="B41" s="7" t="s">
        <v>157</v>
      </c>
      <c r="C41" s="7" t="s">
        <v>158</v>
      </c>
      <c r="D41" s="8" t="n">
        <v>100</v>
      </c>
      <c r="E41" s="7" t="s">
        <v>159</v>
      </c>
      <c r="F41" s="9" t="n">
        <v>0.8</v>
      </c>
      <c r="G41" s="9" t="n">
        <v>1.5</v>
      </c>
      <c r="H41" s="9" t="n">
        <v>3</v>
      </c>
      <c r="I41" s="10" t="n">
        <f aca="false">D41*F41</f>
        <v>80</v>
      </c>
      <c r="J41" s="10" t="n">
        <f aca="false">D41*G41</f>
        <v>150</v>
      </c>
      <c r="K41" s="10" t="n">
        <f aca="false">D41*H41</f>
        <v>300</v>
      </c>
      <c r="L41" s="8" t="s">
        <v>84</v>
      </c>
      <c r="M41" s="7" t="s">
        <v>160</v>
      </c>
    </row>
    <row r="43" customFormat="false" ht="30" hidden="false" customHeight="true" outlineLevel="0" collapsed="false">
      <c r="A43" s="11" t="s">
        <v>161</v>
      </c>
      <c r="B43" s="11"/>
      <c r="C43" s="11"/>
      <c r="D43" s="11"/>
      <c r="E43" s="11"/>
      <c r="F43" s="11"/>
      <c r="G43" s="11"/>
      <c r="H43" s="11"/>
      <c r="I43" s="12" t="n">
        <f aca="false">SUMPRODUCT((B2:B41&lt;&gt;"")*I2:I41)</f>
        <v>4890</v>
      </c>
      <c r="J43" s="12" t="n">
        <f aca="false">SUMPRODUCT((B2:B41&lt;&gt;"")*J2:J41)</f>
        <v>9715</v>
      </c>
      <c r="K43" s="12" t="n">
        <f aca="false">SUMPRODUCT((B2:B41&lt;&gt;"")*K2:K41)</f>
        <v>17460</v>
      </c>
      <c r="L43" s="11"/>
      <c r="M43" s="11"/>
    </row>
    <row r="45" customFormat="false" ht="15" hidden="false" customHeight="true" outlineLevel="0" collapsed="false">
      <c r="A45" s="13" t="s">
        <v>162</v>
      </c>
      <c r="B45" s="13"/>
      <c r="C45" s="13"/>
      <c r="D45" s="13"/>
      <c r="E45" s="13"/>
    </row>
    <row r="46" customFormat="false" ht="15" hidden="false" customHeight="false" outlineLevel="0" collapsed="false">
      <c r="A46" s="14" t="s">
        <v>0</v>
      </c>
      <c r="B46" s="14" t="s">
        <v>163</v>
      </c>
      <c r="C46" s="14" t="s">
        <v>164</v>
      </c>
      <c r="D46" s="14" t="s">
        <v>165</v>
      </c>
      <c r="E46" s="14" t="s">
        <v>166</v>
      </c>
    </row>
    <row r="47" customFormat="false" ht="15" hidden="false" customHeight="false" outlineLevel="0" collapsed="false">
      <c r="A47" s="3" t="s">
        <v>14</v>
      </c>
      <c r="B47" s="6" t="n">
        <f aca="false">SUMPRODUCT((A2:A41="Team Outfit")*I2:I41)</f>
        <v>730</v>
      </c>
      <c r="C47" s="6" t="n">
        <f aca="false">SUMPRODUCT((A2:A41="Team Outfit")*J2:J41)</f>
        <v>1350</v>
      </c>
      <c r="D47" s="6" t="n">
        <f aca="false">SUMPRODUCT((A2:A41="Team Outfit")*K2:K41)</f>
        <v>2235</v>
      </c>
      <c r="E47" s="4" t="s">
        <v>18</v>
      </c>
    </row>
    <row r="48" customFormat="false" ht="15" hidden="false" customHeight="false" outlineLevel="0" collapsed="false">
      <c r="A48" s="7" t="s">
        <v>37</v>
      </c>
      <c r="B48" s="10" t="n">
        <f aca="false">SUMPRODUCT((A2:A41="Stand-Ausstattung")*I2:I41)</f>
        <v>790</v>
      </c>
      <c r="C48" s="10" t="n">
        <f aca="false">SUMPRODUCT((A2:A41="Stand-Ausstattung")*J2:J41)</f>
        <v>1565</v>
      </c>
      <c r="D48" s="10" t="n">
        <f aca="false">SUMPRODUCT((A2:A41="Stand-Ausstattung")*K2:K41)</f>
        <v>2775</v>
      </c>
      <c r="E48" s="8" t="s">
        <v>18</v>
      </c>
    </row>
    <row r="49" customFormat="false" ht="15" hidden="false" customHeight="false" outlineLevel="0" collapsed="false">
      <c r="A49" s="3" t="s">
        <v>63</v>
      </c>
      <c r="B49" s="6" t="n">
        <f aca="false">SUMPRODUCT((A2:A41="Premium Merch")*I2:I41)</f>
        <v>690</v>
      </c>
      <c r="C49" s="6" t="n">
        <f aca="false">SUMPRODUCT((A2:A41="Premium Merch")*J2:J41)</f>
        <v>1640</v>
      </c>
      <c r="D49" s="6" t="n">
        <f aca="false">SUMPRODUCT((A2:A41="Premium Merch")*K2:K41)</f>
        <v>2920</v>
      </c>
      <c r="E49" s="4" t="s">
        <v>18</v>
      </c>
    </row>
    <row r="50" customFormat="false" ht="15" hidden="false" customHeight="false" outlineLevel="0" collapsed="false">
      <c r="A50" s="7" t="s">
        <v>80</v>
      </c>
      <c r="B50" s="10" t="n">
        <f aca="false">SUMPRODUCT((A2:A41="Giveaways")*I2:I41)</f>
        <v>1335</v>
      </c>
      <c r="C50" s="10" t="n">
        <f aca="false">SUMPRODUCT((A2:A41="Giveaways")*J2:J41)</f>
        <v>2650</v>
      </c>
      <c r="D50" s="10" t="n">
        <f aca="false">SUMPRODUCT((A2:A41="Giveaways")*K2:K41)</f>
        <v>5000</v>
      </c>
      <c r="E50" s="8" t="s">
        <v>167</v>
      </c>
    </row>
    <row r="51" customFormat="false" ht="15" hidden="false" customHeight="false" outlineLevel="0" collapsed="false">
      <c r="A51" s="3" t="s">
        <v>115</v>
      </c>
      <c r="B51" s="6" t="n">
        <f aca="false">SUMPRODUCT((A2:A41="Verpflegung")*I2:I41)</f>
        <v>315</v>
      </c>
      <c r="C51" s="6" t="n">
        <f aca="false">SUMPRODUCT((A2:A41="Verpflegung")*J2:J41)</f>
        <v>515</v>
      </c>
      <c r="D51" s="6" t="n">
        <f aca="false">SUMPRODUCT((A2:A41="Verpflegung")*K2:K41)</f>
        <v>890</v>
      </c>
      <c r="E51" s="4" t="s">
        <v>167</v>
      </c>
    </row>
    <row r="52" customFormat="false" ht="23.85" hidden="false" customHeight="false" outlineLevel="0" collapsed="false">
      <c r="A52" s="7" t="s">
        <v>168</v>
      </c>
      <c r="B52" s="10" t="n">
        <f aca="false">SUMPRODUCT((A2:A41="Ergänzung")*I2:I41)</f>
        <v>1030</v>
      </c>
      <c r="C52" s="10" t="n">
        <f aca="false">SUMPRODUCT((A2:A41="Ergänzung")*J2:J41)</f>
        <v>1995</v>
      </c>
      <c r="D52" s="10" t="n">
        <f aca="false">SUMPRODUCT((A2:A41="Ergänzung")*K2:K41)</f>
        <v>3640</v>
      </c>
      <c r="E52" s="8" t="s">
        <v>167</v>
      </c>
    </row>
  </sheetData>
  <mergeCells count="8">
    <mergeCell ref="A2:M2"/>
    <mergeCell ref="A8:M8"/>
    <mergeCell ref="A15:M15"/>
    <mergeCell ref="A20:M20"/>
    <mergeCell ref="A29:M29"/>
    <mergeCell ref="A33:M33"/>
    <mergeCell ref="A43:H43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5C"/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3" t="s">
        <v>169</v>
      </c>
      <c r="B1" s="13"/>
      <c r="C1" s="13"/>
      <c r="D1" s="13"/>
      <c r="E1" s="13"/>
    </row>
    <row r="2" customFormat="false" ht="15" hidden="false" customHeight="false" outlineLevel="0" collapsed="false">
      <c r="A2" s="15" t="s">
        <v>170</v>
      </c>
      <c r="B2" s="15"/>
      <c r="C2" s="15"/>
      <c r="D2" s="15"/>
      <c r="E2" s="15"/>
    </row>
    <row r="3" customFormat="false" ht="15" hidden="false" customHeight="false" outlineLevel="0" collapsed="false">
      <c r="A3" s="14" t="s">
        <v>1</v>
      </c>
      <c r="B3" s="14" t="s">
        <v>171</v>
      </c>
      <c r="C3" s="14" t="s">
        <v>172</v>
      </c>
      <c r="D3" s="14" t="s">
        <v>173</v>
      </c>
    </row>
    <row r="4" customFormat="false" ht="15" hidden="false" customHeight="false" outlineLevel="0" collapsed="false">
      <c r="A4" s="3" t="s">
        <v>174</v>
      </c>
      <c r="B4" s="16" t="n">
        <v>15</v>
      </c>
      <c r="C4" s="5" t="n">
        <v>8</v>
      </c>
      <c r="D4" s="6" t="n">
        <f aca="false">B4*C4</f>
        <v>120</v>
      </c>
    </row>
    <row r="5" customFormat="false" ht="15" hidden="false" customHeight="false" outlineLevel="0" collapsed="false">
      <c r="A5" s="7" t="s">
        <v>175</v>
      </c>
      <c r="B5" s="17" t="n">
        <v>15</v>
      </c>
      <c r="C5" s="9" t="n">
        <v>4</v>
      </c>
      <c r="D5" s="10" t="n">
        <f aca="false">B5*C5</f>
        <v>60</v>
      </c>
    </row>
    <row r="6" customFormat="false" ht="15" hidden="false" customHeight="false" outlineLevel="0" collapsed="false">
      <c r="A6" s="3" t="s">
        <v>176</v>
      </c>
      <c r="B6" s="16" t="n">
        <v>15</v>
      </c>
      <c r="C6" s="5" t="n">
        <v>5</v>
      </c>
      <c r="D6" s="6" t="n">
        <f aca="false">B6*C6</f>
        <v>75</v>
      </c>
    </row>
    <row r="7" customFormat="false" ht="15" hidden="false" customHeight="false" outlineLevel="0" collapsed="false">
      <c r="A7" s="7" t="s">
        <v>177</v>
      </c>
      <c r="B7" s="17" t="n">
        <v>2</v>
      </c>
      <c r="C7" s="9" t="n">
        <v>30</v>
      </c>
      <c r="D7" s="10" t="n">
        <f aca="false">B7*C7</f>
        <v>60</v>
      </c>
    </row>
    <row r="8" customFormat="false" ht="15" hidden="false" customHeight="false" outlineLevel="0" collapsed="false">
      <c r="A8" s="3" t="s">
        <v>178</v>
      </c>
      <c r="B8" s="16" t="n">
        <v>4</v>
      </c>
      <c r="C8" s="5" t="n">
        <v>15</v>
      </c>
      <c r="D8" s="6" t="n">
        <f aca="false">B8*C8</f>
        <v>60</v>
      </c>
    </row>
    <row r="9" customFormat="false" ht="15" hidden="false" customHeight="false" outlineLevel="0" collapsed="false">
      <c r="A9" s="7" t="s">
        <v>179</v>
      </c>
      <c r="B9" s="17" t="n">
        <v>300</v>
      </c>
      <c r="C9" s="9" t="n">
        <v>0.15</v>
      </c>
      <c r="D9" s="10" t="n">
        <f aca="false">B9*C9</f>
        <v>45</v>
      </c>
    </row>
    <row r="10" customFormat="false" ht="15" hidden="false" customHeight="false" outlineLevel="0" collapsed="false">
      <c r="A10" s="3" t="s">
        <v>180</v>
      </c>
      <c r="B10" s="16" t="n">
        <v>500</v>
      </c>
      <c r="C10" s="5" t="n">
        <v>0.2</v>
      </c>
      <c r="D10" s="6" t="n">
        <f aca="false">B10*C10</f>
        <v>100</v>
      </c>
    </row>
    <row r="11" customFormat="false" ht="15" hidden="false" customHeight="false" outlineLevel="0" collapsed="false">
      <c r="A11" s="7" t="s">
        <v>181</v>
      </c>
      <c r="B11" s="17" t="n">
        <v>300</v>
      </c>
      <c r="C11" s="9" t="n">
        <v>0.3</v>
      </c>
      <c r="D11" s="10" t="n">
        <f aca="false">B11*C11</f>
        <v>90</v>
      </c>
    </row>
    <row r="12" customFormat="false" ht="15" hidden="false" customHeight="false" outlineLevel="0" collapsed="false">
      <c r="A12" s="3" t="s">
        <v>182</v>
      </c>
      <c r="B12" s="16" t="n">
        <v>300</v>
      </c>
      <c r="C12" s="5" t="n">
        <v>0.15</v>
      </c>
      <c r="D12" s="6" t="n">
        <f aca="false">B12*C12</f>
        <v>45</v>
      </c>
    </row>
    <row r="13" customFormat="false" ht="15" hidden="false" customHeight="false" outlineLevel="0" collapsed="false">
      <c r="A13" s="7" t="s">
        <v>183</v>
      </c>
      <c r="B13" s="17" t="n">
        <v>500</v>
      </c>
      <c r="C13" s="9" t="n">
        <v>0.08</v>
      </c>
      <c r="D13" s="10" t="n">
        <f aca="false">B13*C13</f>
        <v>40</v>
      </c>
    </row>
    <row r="14" customFormat="false" ht="15" hidden="false" customHeight="false" outlineLevel="0" collapsed="false">
      <c r="A14" s="18" t="s">
        <v>184</v>
      </c>
      <c r="B14" s="18"/>
      <c r="C14" s="18"/>
      <c r="D14" s="19" t="n">
        <f aca="false">SUM(D4:D13)</f>
        <v>695</v>
      </c>
    </row>
    <row r="16" customFormat="false" ht="30" hidden="false" customHeight="true" outlineLevel="0" collapsed="false">
      <c r="A16" s="20" t="s">
        <v>185</v>
      </c>
      <c r="B16" s="20"/>
      <c r="C16" s="20"/>
      <c r="D16" s="20"/>
      <c r="E16" s="20"/>
    </row>
    <row r="17" customFormat="false" ht="15" hidden="false" customHeight="false" outlineLevel="0" collapsed="false">
      <c r="A17" s="15" t="s">
        <v>186</v>
      </c>
      <c r="B17" s="15"/>
      <c r="C17" s="15"/>
      <c r="D17" s="15"/>
      <c r="E17" s="15"/>
    </row>
    <row r="18" customFormat="false" ht="15" hidden="false" customHeight="false" outlineLevel="0" collapsed="false">
      <c r="A18" s="14" t="s">
        <v>1</v>
      </c>
      <c r="B18" s="14" t="s">
        <v>171</v>
      </c>
      <c r="C18" s="14" t="s">
        <v>172</v>
      </c>
      <c r="D18" s="14" t="s">
        <v>173</v>
      </c>
    </row>
    <row r="19" customFormat="false" ht="15" hidden="false" customHeight="false" outlineLevel="0" collapsed="false">
      <c r="A19" s="3" t="s">
        <v>174</v>
      </c>
      <c r="B19" s="16" t="n">
        <v>20</v>
      </c>
      <c r="C19" s="5" t="n">
        <v>15</v>
      </c>
      <c r="D19" s="6" t="n">
        <f aca="false">B19*C19</f>
        <v>300</v>
      </c>
    </row>
    <row r="20" customFormat="false" ht="15" hidden="false" customHeight="false" outlineLevel="0" collapsed="false">
      <c r="A20" s="7" t="s">
        <v>187</v>
      </c>
      <c r="B20" s="17" t="n">
        <v>10</v>
      </c>
      <c r="C20" s="9" t="n">
        <v>30</v>
      </c>
      <c r="D20" s="10" t="n">
        <f aca="false">B20*C20</f>
        <v>300</v>
      </c>
    </row>
    <row r="21" customFormat="false" ht="15" hidden="false" customHeight="false" outlineLevel="0" collapsed="false">
      <c r="A21" s="3" t="s">
        <v>175</v>
      </c>
      <c r="B21" s="16" t="n">
        <v>20</v>
      </c>
      <c r="C21" s="5" t="n">
        <v>8</v>
      </c>
      <c r="D21" s="6" t="n">
        <f aca="false">B21*C21</f>
        <v>160</v>
      </c>
    </row>
    <row r="22" customFormat="false" ht="15" hidden="false" customHeight="false" outlineLevel="0" collapsed="false">
      <c r="A22" s="7" t="s">
        <v>188</v>
      </c>
      <c r="B22" s="17" t="n">
        <v>5</v>
      </c>
      <c r="C22" s="9" t="n">
        <v>30</v>
      </c>
      <c r="D22" s="10" t="n">
        <f aca="false">B22*C22</f>
        <v>150</v>
      </c>
    </row>
    <row r="23" customFormat="false" ht="15" hidden="false" customHeight="false" outlineLevel="0" collapsed="false">
      <c r="A23" s="3" t="s">
        <v>177</v>
      </c>
      <c r="B23" s="16" t="n">
        <v>4</v>
      </c>
      <c r="C23" s="5" t="n">
        <v>60</v>
      </c>
      <c r="D23" s="6" t="n">
        <f aca="false">B23*C23</f>
        <v>240</v>
      </c>
    </row>
    <row r="24" customFormat="false" ht="15" hidden="false" customHeight="false" outlineLevel="0" collapsed="false">
      <c r="A24" s="7" t="s">
        <v>178</v>
      </c>
      <c r="B24" s="17" t="n">
        <v>6</v>
      </c>
      <c r="C24" s="9" t="n">
        <v>30</v>
      </c>
      <c r="D24" s="10" t="n">
        <f aca="false">B24*C24</f>
        <v>180</v>
      </c>
    </row>
    <row r="25" customFormat="false" ht="15" hidden="false" customHeight="false" outlineLevel="0" collapsed="false">
      <c r="A25" s="3" t="s">
        <v>189</v>
      </c>
      <c r="B25" s="16" t="n">
        <v>6</v>
      </c>
      <c r="C25" s="5" t="n">
        <v>40</v>
      </c>
      <c r="D25" s="6" t="n">
        <f aca="false">B25*C25</f>
        <v>240</v>
      </c>
    </row>
    <row r="26" customFormat="false" ht="15" hidden="false" customHeight="false" outlineLevel="0" collapsed="false">
      <c r="A26" s="7" t="s">
        <v>190</v>
      </c>
      <c r="B26" s="17" t="n">
        <v>10</v>
      </c>
      <c r="C26" s="9" t="n">
        <v>15</v>
      </c>
      <c r="D26" s="10" t="n">
        <f aca="false">B26*C26</f>
        <v>150</v>
      </c>
    </row>
    <row r="27" customFormat="false" ht="15" hidden="false" customHeight="false" outlineLevel="0" collapsed="false">
      <c r="A27" s="3" t="s">
        <v>191</v>
      </c>
      <c r="B27" s="16" t="n">
        <v>30</v>
      </c>
      <c r="C27" s="5" t="n">
        <v>12</v>
      </c>
      <c r="D27" s="6" t="n">
        <f aca="false">B27*C27</f>
        <v>360</v>
      </c>
    </row>
    <row r="28" customFormat="false" ht="15" hidden="false" customHeight="false" outlineLevel="0" collapsed="false">
      <c r="A28" s="7" t="s">
        <v>192</v>
      </c>
      <c r="B28" s="17" t="n">
        <v>200</v>
      </c>
      <c r="C28" s="9" t="n">
        <v>1.5</v>
      </c>
      <c r="D28" s="10" t="n">
        <f aca="false">B28*C28</f>
        <v>300</v>
      </c>
    </row>
    <row r="29" customFormat="false" ht="15" hidden="false" customHeight="false" outlineLevel="0" collapsed="false">
      <c r="A29" s="3" t="s">
        <v>179</v>
      </c>
      <c r="B29" s="16" t="n">
        <v>500</v>
      </c>
      <c r="C29" s="5" t="n">
        <v>0.3</v>
      </c>
      <c r="D29" s="6" t="n">
        <f aca="false">B29*C29</f>
        <v>150</v>
      </c>
    </row>
    <row r="30" customFormat="false" ht="15" hidden="false" customHeight="false" outlineLevel="0" collapsed="false">
      <c r="A30" s="7" t="s">
        <v>193</v>
      </c>
      <c r="B30" s="17" t="n">
        <v>100</v>
      </c>
      <c r="C30" s="9" t="n">
        <v>1.5</v>
      </c>
      <c r="D30" s="10" t="n">
        <f aca="false">B30*C30</f>
        <v>150</v>
      </c>
    </row>
    <row r="31" customFormat="false" ht="15" hidden="false" customHeight="false" outlineLevel="0" collapsed="false">
      <c r="A31" s="3" t="s">
        <v>181</v>
      </c>
      <c r="B31" s="16" t="n">
        <v>500</v>
      </c>
      <c r="C31" s="5" t="n">
        <v>0.6</v>
      </c>
      <c r="D31" s="6" t="n">
        <f aca="false">B31*C31</f>
        <v>300</v>
      </c>
    </row>
    <row r="32" customFormat="false" ht="15" hidden="false" customHeight="false" outlineLevel="0" collapsed="false">
      <c r="A32" s="7" t="s">
        <v>102</v>
      </c>
      <c r="B32" s="17" t="n">
        <v>300</v>
      </c>
      <c r="C32" s="9" t="n">
        <v>0.6</v>
      </c>
      <c r="D32" s="10" t="n">
        <f aca="false">B32*C32</f>
        <v>180</v>
      </c>
    </row>
    <row r="33" customFormat="false" ht="15" hidden="false" customHeight="false" outlineLevel="0" collapsed="false">
      <c r="A33" s="3" t="s">
        <v>194</v>
      </c>
      <c r="B33" s="16" t="n">
        <v>200</v>
      </c>
      <c r="C33" s="5" t="n">
        <v>0.8</v>
      </c>
      <c r="D33" s="6" t="n">
        <f aca="false">B33*C33</f>
        <v>160</v>
      </c>
    </row>
    <row r="34" customFormat="false" ht="15" hidden="false" customHeight="false" outlineLevel="0" collapsed="false">
      <c r="A34" s="7" t="s">
        <v>195</v>
      </c>
      <c r="B34" s="17" t="n">
        <v>200</v>
      </c>
      <c r="C34" s="9" t="n">
        <v>0.5</v>
      </c>
      <c r="D34" s="10" t="n">
        <f aca="false">B34*C34</f>
        <v>100</v>
      </c>
    </row>
    <row r="35" customFormat="false" ht="15" hidden="false" customHeight="false" outlineLevel="0" collapsed="false">
      <c r="A35" s="3" t="s">
        <v>183</v>
      </c>
      <c r="B35" s="16" t="n">
        <v>500</v>
      </c>
      <c r="C35" s="5" t="n">
        <v>0.15</v>
      </c>
      <c r="D35" s="6" t="n">
        <f aca="false">B35*C35</f>
        <v>75</v>
      </c>
    </row>
    <row r="36" customFormat="false" ht="15" hidden="false" customHeight="false" outlineLevel="0" collapsed="false">
      <c r="A36" s="7" t="s">
        <v>180</v>
      </c>
      <c r="B36" s="17" t="n">
        <v>500</v>
      </c>
      <c r="C36" s="9" t="n">
        <v>0.5</v>
      </c>
      <c r="D36" s="10" t="n">
        <f aca="false">B36*C36</f>
        <v>250</v>
      </c>
    </row>
    <row r="37" customFormat="false" ht="15" hidden="false" customHeight="false" outlineLevel="0" collapsed="false">
      <c r="A37" s="18" t="s">
        <v>184</v>
      </c>
      <c r="B37" s="18"/>
      <c r="C37" s="18"/>
      <c r="D37" s="19" t="n">
        <f aca="false">SUM(D19:D36)</f>
        <v>3745</v>
      </c>
    </row>
    <row r="39" customFormat="false" ht="30" hidden="false" customHeight="true" outlineLevel="0" collapsed="false">
      <c r="A39" s="21" t="s">
        <v>196</v>
      </c>
      <c r="B39" s="21"/>
      <c r="C39" s="21"/>
      <c r="D39" s="21"/>
      <c r="E39" s="21"/>
    </row>
    <row r="40" customFormat="false" ht="15" hidden="false" customHeight="false" outlineLevel="0" collapsed="false">
      <c r="A40" s="15" t="s">
        <v>197</v>
      </c>
      <c r="B40" s="15"/>
      <c r="C40" s="15"/>
      <c r="D40" s="15"/>
      <c r="E40" s="15"/>
    </row>
    <row r="41" customFormat="false" ht="15" hidden="false" customHeight="false" outlineLevel="0" collapsed="false">
      <c r="A41" s="14" t="s">
        <v>1</v>
      </c>
      <c r="B41" s="14" t="s">
        <v>171</v>
      </c>
      <c r="C41" s="14" t="s">
        <v>172</v>
      </c>
      <c r="D41" s="14" t="s">
        <v>173</v>
      </c>
    </row>
    <row r="42" customFormat="false" ht="15" hidden="false" customHeight="false" outlineLevel="0" collapsed="false">
      <c r="A42" s="3" t="s">
        <v>198</v>
      </c>
      <c r="B42" s="16" t="n">
        <v>20</v>
      </c>
      <c r="C42" s="5" t="n">
        <v>25</v>
      </c>
      <c r="D42" s="6" t="n">
        <f aca="false">B42*C42</f>
        <v>500</v>
      </c>
    </row>
    <row r="43" customFormat="false" ht="15" hidden="false" customHeight="false" outlineLevel="0" collapsed="false">
      <c r="A43" s="7" t="s">
        <v>199</v>
      </c>
      <c r="B43" s="17" t="n">
        <v>15</v>
      </c>
      <c r="C43" s="9" t="n">
        <v>45</v>
      </c>
      <c r="D43" s="10" t="n">
        <f aca="false">B43*C43</f>
        <v>675</v>
      </c>
    </row>
    <row r="44" customFormat="false" ht="15" hidden="false" customHeight="false" outlineLevel="0" collapsed="false">
      <c r="A44" s="3" t="s">
        <v>200</v>
      </c>
      <c r="B44" s="16" t="n">
        <v>8</v>
      </c>
      <c r="C44" s="5" t="n">
        <v>50</v>
      </c>
      <c r="D44" s="6" t="n">
        <f aca="false">B44*C44</f>
        <v>400</v>
      </c>
    </row>
    <row r="45" customFormat="false" ht="15" hidden="false" customHeight="false" outlineLevel="0" collapsed="false">
      <c r="A45" s="7" t="s">
        <v>175</v>
      </c>
      <c r="B45" s="17" t="n">
        <v>20</v>
      </c>
      <c r="C45" s="9" t="n">
        <v>15</v>
      </c>
      <c r="D45" s="10" t="n">
        <f aca="false">B45*C45</f>
        <v>300</v>
      </c>
    </row>
    <row r="46" customFormat="false" ht="15" hidden="false" customHeight="false" outlineLevel="0" collapsed="false">
      <c r="A46" s="3" t="s">
        <v>177</v>
      </c>
      <c r="B46" s="16" t="n">
        <v>4</v>
      </c>
      <c r="C46" s="5" t="n">
        <v>120</v>
      </c>
      <c r="D46" s="6" t="n">
        <f aca="false">B46*C46</f>
        <v>480</v>
      </c>
    </row>
    <row r="47" customFormat="false" ht="15" hidden="false" customHeight="false" outlineLevel="0" collapsed="false">
      <c r="A47" s="7" t="s">
        <v>178</v>
      </c>
      <c r="B47" s="17" t="n">
        <v>6</v>
      </c>
      <c r="C47" s="9" t="n">
        <v>50</v>
      </c>
      <c r="D47" s="10" t="n">
        <f aca="false">B47*C47</f>
        <v>300</v>
      </c>
    </row>
    <row r="48" customFormat="false" ht="15" hidden="false" customHeight="false" outlineLevel="0" collapsed="false">
      <c r="A48" s="3" t="s">
        <v>201</v>
      </c>
      <c r="B48" s="16" t="n">
        <v>10</v>
      </c>
      <c r="C48" s="5" t="n">
        <v>70</v>
      </c>
      <c r="D48" s="6" t="n">
        <f aca="false">B48*C48</f>
        <v>700</v>
      </c>
    </row>
    <row r="49" customFormat="false" ht="15" hidden="false" customHeight="false" outlineLevel="0" collapsed="false">
      <c r="A49" s="7" t="s">
        <v>202</v>
      </c>
      <c r="B49" s="17" t="n">
        <v>15</v>
      </c>
      <c r="C49" s="9" t="n">
        <v>25</v>
      </c>
      <c r="D49" s="10" t="n">
        <f aca="false">B49*C49</f>
        <v>375</v>
      </c>
    </row>
    <row r="50" customFormat="false" ht="15" hidden="false" customHeight="false" outlineLevel="0" collapsed="false">
      <c r="A50" s="3" t="s">
        <v>54</v>
      </c>
      <c r="B50" s="16" t="n">
        <v>4</v>
      </c>
      <c r="C50" s="5" t="n">
        <v>130</v>
      </c>
      <c r="D50" s="6" t="n">
        <f aca="false">B50*C50</f>
        <v>520</v>
      </c>
    </row>
    <row r="51" customFormat="false" ht="15" hidden="false" customHeight="false" outlineLevel="0" collapsed="false">
      <c r="A51" s="7" t="s">
        <v>203</v>
      </c>
      <c r="B51" s="17" t="n">
        <v>4</v>
      </c>
      <c r="C51" s="9" t="n">
        <v>100</v>
      </c>
      <c r="D51" s="10" t="n">
        <f aca="false">B51*C51</f>
        <v>400</v>
      </c>
    </row>
    <row r="52" customFormat="false" ht="15" hidden="false" customHeight="false" outlineLevel="0" collapsed="false">
      <c r="A52" s="3" t="s">
        <v>204</v>
      </c>
      <c r="B52" s="16" t="n">
        <v>50</v>
      </c>
      <c r="C52" s="5" t="n">
        <v>20</v>
      </c>
      <c r="D52" s="6" t="n">
        <f aca="false">B52*C52</f>
        <v>1000</v>
      </c>
    </row>
    <row r="53" customFormat="false" ht="15" hidden="false" customHeight="false" outlineLevel="0" collapsed="false">
      <c r="A53" s="7" t="s">
        <v>72</v>
      </c>
      <c r="B53" s="17" t="n">
        <v>50</v>
      </c>
      <c r="C53" s="9" t="n">
        <v>18</v>
      </c>
      <c r="D53" s="10" t="n">
        <f aca="false">B53*C53</f>
        <v>900</v>
      </c>
    </row>
    <row r="54" customFormat="false" ht="15" hidden="false" customHeight="false" outlineLevel="0" collapsed="false">
      <c r="A54" s="3" t="s">
        <v>64</v>
      </c>
      <c r="B54" s="16" t="n">
        <v>30</v>
      </c>
      <c r="C54" s="5" t="n">
        <v>22</v>
      </c>
      <c r="D54" s="6" t="n">
        <f aca="false">B54*C54</f>
        <v>660</v>
      </c>
    </row>
    <row r="55" customFormat="false" ht="15" hidden="false" customHeight="false" outlineLevel="0" collapsed="false">
      <c r="A55" s="7" t="s">
        <v>205</v>
      </c>
      <c r="B55" s="17" t="n">
        <v>50</v>
      </c>
      <c r="C55" s="9" t="n">
        <v>15</v>
      </c>
      <c r="D55" s="10" t="n">
        <f aca="false">B55*C55</f>
        <v>750</v>
      </c>
    </row>
    <row r="56" customFormat="false" ht="15" hidden="false" customHeight="false" outlineLevel="0" collapsed="false">
      <c r="A56" s="3" t="s">
        <v>192</v>
      </c>
      <c r="B56" s="16" t="n">
        <v>300</v>
      </c>
      <c r="C56" s="5" t="n">
        <v>3</v>
      </c>
      <c r="D56" s="6" t="n">
        <f aca="false">B56*C56</f>
        <v>900</v>
      </c>
    </row>
    <row r="57" customFormat="false" ht="15" hidden="false" customHeight="false" outlineLevel="0" collapsed="false">
      <c r="A57" s="7" t="s">
        <v>179</v>
      </c>
      <c r="B57" s="17" t="n">
        <v>500</v>
      </c>
      <c r="C57" s="9" t="n">
        <v>0.5</v>
      </c>
      <c r="D57" s="10" t="n">
        <f aca="false">B57*C57</f>
        <v>250</v>
      </c>
    </row>
    <row r="58" customFormat="false" ht="15" hidden="false" customHeight="false" outlineLevel="0" collapsed="false">
      <c r="A58" s="3" t="s">
        <v>206</v>
      </c>
      <c r="B58" s="16" t="n">
        <v>200</v>
      </c>
      <c r="C58" s="5" t="n">
        <v>3</v>
      </c>
      <c r="D58" s="6" t="n">
        <f aca="false">B58*C58</f>
        <v>600</v>
      </c>
    </row>
    <row r="59" customFormat="false" ht="15" hidden="false" customHeight="false" outlineLevel="0" collapsed="false">
      <c r="A59" s="7" t="s">
        <v>181</v>
      </c>
      <c r="B59" s="17" t="n">
        <v>500</v>
      </c>
      <c r="C59" s="9" t="n">
        <v>1</v>
      </c>
      <c r="D59" s="10" t="n">
        <f aca="false">B59*C59</f>
        <v>500</v>
      </c>
    </row>
    <row r="60" customFormat="false" ht="15" hidden="false" customHeight="false" outlineLevel="0" collapsed="false">
      <c r="A60" s="3" t="s">
        <v>207</v>
      </c>
      <c r="B60" s="16" t="n">
        <v>150</v>
      </c>
      <c r="C60" s="5" t="n">
        <v>7</v>
      </c>
      <c r="D60" s="6" t="n">
        <f aca="false">B60*C60</f>
        <v>1050</v>
      </c>
    </row>
    <row r="61" customFormat="false" ht="15" hidden="false" customHeight="false" outlineLevel="0" collapsed="false">
      <c r="A61" s="7" t="s">
        <v>102</v>
      </c>
      <c r="B61" s="17" t="n">
        <v>500</v>
      </c>
      <c r="C61" s="9" t="n">
        <v>1.2</v>
      </c>
      <c r="D61" s="10" t="n">
        <f aca="false">B61*C61</f>
        <v>600</v>
      </c>
    </row>
    <row r="62" customFormat="false" ht="15" hidden="false" customHeight="false" outlineLevel="0" collapsed="false">
      <c r="A62" s="3" t="s">
        <v>208</v>
      </c>
      <c r="B62" s="16" t="n">
        <v>200</v>
      </c>
      <c r="C62" s="5" t="n">
        <v>3</v>
      </c>
      <c r="D62" s="6" t="n">
        <f aca="false">B62*C62</f>
        <v>600</v>
      </c>
    </row>
    <row r="63" customFormat="false" ht="15" hidden="false" customHeight="false" outlineLevel="0" collapsed="false">
      <c r="A63" s="7" t="s">
        <v>209</v>
      </c>
      <c r="B63" s="17" t="n">
        <v>200</v>
      </c>
      <c r="C63" s="9" t="n">
        <v>5</v>
      </c>
      <c r="D63" s="10" t="n">
        <f aca="false">B63*C63</f>
        <v>1000</v>
      </c>
    </row>
    <row r="64" customFormat="false" ht="15" hidden="false" customHeight="false" outlineLevel="0" collapsed="false">
      <c r="A64" s="3" t="s">
        <v>210</v>
      </c>
      <c r="B64" s="16" t="n">
        <v>500</v>
      </c>
      <c r="C64" s="5" t="n">
        <v>0.8</v>
      </c>
      <c r="D64" s="6" t="n">
        <f aca="false">B64*C64</f>
        <v>400</v>
      </c>
    </row>
    <row r="65" customFormat="false" ht="15" hidden="false" customHeight="false" outlineLevel="0" collapsed="false">
      <c r="A65" s="7" t="s">
        <v>211</v>
      </c>
      <c r="B65" s="17" t="n">
        <v>500</v>
      </c>
      <c r="C65" s="9" t="n">
        <v>0.4</v>
      </c>
      <c r="D65" s="10" t="n">
        <f aca="false">B65*C65</f>
        <v>200</v>
      </c>
    </row>
    <row r="66" customFormat="false" ht="15" hidden="false" customHeight="false" outlineLevel="0" collapsed="false">
      <c r="A66" s="3" t="s">
        <v>212</v>
      </c>
      <c r="B66" s="16" t="n">
        <v>100</v>
      </c>
      <c r="C66" s="5" t="n">
        <v>3</v>
      </c>
      <c r="D66" s="6" t="n">
        <f aca="false">B66*C66</f>
        <v>300</v>
      </c>
    </row>
    <row r="67" customFormat="false" ht="15" hidden="false" customHeight="false" outlineLevel="0" collapsed="false">
      <c r="A67" s="7" t="s">
        <v>194</v>
      </c>
      <c r="B67" s="17" t="n">
        <v>300</v>
      </c>
      <c r="C67" s="9" t="n">
        <v>1.5</v>
      </c>
      <c r="D67" s="10" t="n">
        <f aca="false">B67*C67</f>
        <v>450</v>
      </c>
    </row>
    <row r="68" customFormat="false" ht="15" hidden="false" customHeight="false" outlineLevel="0" collapsed="false">
      <c r="A68" s="3" t="s">
        <v>195</v>
      </c>
      <c r="B68" s="16" t="n">
        <v>300</v>
      </c>
      <c r="C68" s="5" t="n">
        <v>0.8</v>
      </c>
      <c r="D68" s="6" t="n">
        <f aca="false">B68*C68</f>
        <v>240</v>
      </c>
    </row>
    <row r="69" customFormat="false" ht="15" hidden="false" customHeight="false" outlineLevel="0" collapsed="false">
      <c r="A69" s="7" t="s">
        <v>182</v>
      </c>
      <c r="B69" s="17" t="n">
        <v>500</v>
      </c>
      <c r="C69" s="9" t="n">
        <v>0.4</v>
      </c>
      <c r="D69" s="10" t="n">
        <f aca="false">B69*C69</f>
        <v>200</v>
      </c>
    </row>
    <row r="70" customFormat="false" ht="15" hidden="false" customHeight="false" outlineLevel="0" collapsed="false">
      <c r="A70" s="3" t="s">
        <v>183</v>
      </c>
      <c r="B70" s="16" t="n">
        <v>500</v>
      </c>
      <c r="C70" s="5" t="n">
        <v>0.3</v>
      </c>
      <c r="D70" s="6" t="n">
        <f aca="false">B70*C70</f>
        <v>150</v>
      </c>
    </row>
    <row r="71" customFormat="false" ht="15" hidden="false" customHeight="false" outlineLevel="0" collapsed="false">
      <c r="A71" s="7" t="s">
        <v>180</v>
      </c>
      <c r="B71" s="17" t="n">
        <v>500</v>
      </c>
      <c r="C71" s="9" t="n">
        <v>1</v>
      </c>
      <c r="D71" s="10" t="n">
        <f aca="false">B71*C71</f>
        <v>500</v>
      </c>
    </row>
    <row r="72" customFormat="false" ht="15" hidden="false" customHeight="false" outlineLevel="0" collapsed="false">
      <c r="A72" s="18" t="s">
        <v>184</v>
      </c>
      <c r="B72" s="18"/>
      <c r="C72" s="18"/>
      <c r="D72" s="19" t="n">
        <f aca="false">SUM(D42:D71)</f>
        <v>15900</v>
      </c>
    </row>
  </sheetData>
  <mergeCells count="9">
    <mergeCell ref="A1:E1"/>
    <mergeCell ref="A2:E2"/>
    <mergeCell ref="A14:C14"/>
    <mergeCell ref="A16:E16"/>
    <mergeCell ref="A17:E17"/>
    <mergeCell ref="A37:C37"/>
    <mergeCell ref="A39:E39"/>
    <mergeCell ref="A40:E40"/>
    <mergeCell ref="A72:C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18"/>
  </cols>
  <sheetData>
    <row r="1" customFormat="false" ht="34.5" hidden="false" customHeight="true" outlineLevel="0" collapsed="false">
      <c r="A1" s="22" t="s">
        <v>213</v>
      </c>
      <c r="B1" s="22"/>
      <c r="C1" s="22"/>
      <c r="D1" s="22"/>
    </row>
    <row r="2" customFormat="false" ht="15" hidden="false" customHeight="false" outlineLevel="0" collapsed="false">
      <c r="A2" s="15" t="s">
        <v>214</v>
      </c>
      <c r="B2" s="15"/>
      <c r="C2" s="15"/>
      <c r="D2" s="15"/>
    </row>
    <row r="4" customFormat="false" ht="15" hidden="false" customHeight="false" outlineLevel="0" collapsed="false">
      <c r="A4" s="13" t="s">
        <v>215</v>
      </c>
      <c r="B4" s="13" t="s">
        <v>216</v>
      </c>
      <c r="C4" s="13" t="s">
        <v>217</v>
      </c>
      <c r="D4" s="13" t="s">
        <v>218</v>
      </c>
    </row>
    <row r="5" customFormat="false" ht="15" hidden="false" customHeight="true" outlineLevel="0" collapsed="false">
      <c r="A5" s="2" t="s">
        <v>219</v>
      </c>
      <c r="B5" s="2"/>
      <c r="C5" s="2"/>
      <c r="D5" s="2"/>
    </row>
    <row r="6" customFormat="false" ht="17.35" hidden="false" customHeight="false" outlineLevel="0" collapsed="false">
      <c r="A6" s="23" t="s">
        <v>220</v>
      </c>
      <c r="B6" s="3"/>
      <c r="C6" s="3" t="s">
        <v>221</v>
      </c>
      <c r="D6" s="3"/>
    </row>
    <row r="7" customFormat="false" ht="17.35" hidden="false" customHeight="false" outlineLevel="0" collapsed="false">
      <c r="A7" s="24" t="s">
        <v>220</v>
      </c>
      <c r="B7" s="7"/>
      <c r="C7" s="7" t="s">
        <v>222</v>
      </c>
      <c r="D7" s="7"/>
    </row>
    <row r="8" customFormat="false" ht="23.85" hidden="false" customHeight="false" outlineLevel="0" collapsed="false">
      <c r="A8" s="23" t="s">
        <v>220</v>
      </c>
      <c r="B8" s="3"/>
      <c r="C8" s="3" t="s">
        <v>223</v>
      </c>
      <c r="D8" s="3"/>
    </row>
    <row r="9" customFormat="false" ht="17.35" hidden="false" customHeight="false" outlineLevel="0" collapsed="false">
      <c r="A9" s="24" t="s">
        <v>220</v>
      </c>
      <c r="B9" s="7"/>
      <c r="C9" s="7" t="s">
        <v>224</v>
      </c>
      <c r="D9" s="7"/>
    </row>
    <row r="10" customFormat="false" ht="17.35" hidden="false" customHeight="false" outlineLevel="0" collapsed="false">
      <c r="A10" s="23" t="s">
        <v>220</v>
      </c>
      <c r="B10" s="3"/>
      <c r="C10" s="3" t="s">
        <v>225</v>
      </c>
      <c r="D10" s="3"/>
    </row>
    <row r="11" customFormat="false" ht="17.35" hidden="false" customHeight="false" outlineLevel="0" collapsed="false">
      <c r="A11" s="24" t="s">
        <v>220</v>
      </c>
      <c r="B11" s="7"/>
      <c r="C11" s="7" t="s">
        <v>226</v>
      </c>
      <c r="D11" s="7"/>
    </row>
    <row r="12" customFormat="false" ht="17.35" hidden="false" customHeight="false" outlineLevel="0" collapsed="false">
      <c r="A12" s="23" t="s">
        <v>220</v>
      </c>
      <c r="B12" s="3"/>
      <c r="C12" s="3" t="s">
        <v>227</v>
      </c>
      <c r="D12" s="3"/>
    </row>
    <row r="13" customFormat="false" ht="17.35" hidden="false" customHeight="false" outlineLevel="0" collapsed="false">
      <c r="A13" s="24" t="s">
        <v>220</v>
      </c>
      <c r="B13" s="7"/>
      <c r="C13" s="7" t="s">
        <v>228</v>
      </c>
      <c r="D13" s="7"/>
    </row>
    <row r="14" customFormat="false" ht="17.35" hidden="false" customHeight="false" outlineLevel="0" collapsed="false">
      <c r="A14" s="23" t="s">
        <v>220</v>
      </c>
      <c r="B14" s="3"/>
      <c r="C14" s="3" t="s">
        <v>229</v>
      </c>
      <c r="D14" s="3"/>
    </row>
    <row r="15" customFormat="false" ht="15" hidden="false" customHeight="true" outlineLevel="0" collapsed="false">
      <c r="A15" s="2" t="s">
        <v>230</v>
      </c>
      <c r="B15" s="2"/>
      <c r="C15" s="2"/>
      <c r="D15" s="2"/>
    </row>
    <row r="16" customFormat="false" ht="17.35" hidden="false" customHeight="false" outlineLevel="0" collapsed="false">
      <c r="A16" s="23" t="s">
        <v>220</v>
      </c>
      <c r="B16" s="3"/>
      <c r="C16" s="3" t="s">
        <v>231</v>
      </c>
      <c r="D16" s="3"/>
    </row>
    <row r="17" customFormat="false" ht="17.35" hidden="false" customHeight="false" outlineLevel="0" collapsed="false">
      <c r="A17" s="24" t="s">
        <v>220</v>
      </c>
      <c r="B17" s="7"/>
      <c r="C17" s="7" t="s">
        <v>232</v>
      </c>
      <c r="D17" s="7"/>
    </row>
    <row r="18" customFormat="false" ht="17.35" hidden="false" customHeight="false" outlineLevel="0" collapsed="false">
      <c r="A18" s="23" t="s">
        <v>220</v>
      </c>
      <c r="B18" s="3"/>
      <c r="C18" s="3" t="s">
        <v>233</v>
      </c>
      <c r="D18" s="3"/>
    </row>
    <row r="19" customFormat="false" ht="17.35" hidden="false" customHeight="false" outlineLevel="0" collapsed="false">
      <c r="A19" s="24" t="s">
        <v>220</v>
      </c>
      <c r="B19" s="7"/>
      <c r="C19" s="7" t="s">
        <v>234</v>
      </c>
      <c r="D19" s="7"/>
    </row>
    <row r="20" customFormat="false" ht="17.35" hidden="false" customHeight="false" outlineLevel="0" collapsed="false">
      <c r="A20" s="23" t="s">
        <v>220</v>
      </c>
      <c r="B20" s="3"/>
      <c r="C20" s="3" t="s">
        <v>235</v>
      </c>
      <c r="D20" s="3"/>
    </row>
    <row r="21" customFormat="false" ht="17.35" hidden="false" customHeight="false" outlineLevel="0" collapsed="false">
      <c r="A21" s="24" t="s">
        <v>220</v>
      </c>
      <c r="B21" s="7"/>
      <c r="C21" s="7" t="s">
        <v>236</v>
      </c>
      <c r="D21" s="7"/>
    </row>
    <row r="22" customFormat="false" ht="17.35" hidden="false" customHeight="false" outlineLevel="0" collapsed="false">
      <c r="A22" s="23" t="s">
        <v>220</v>
      </c>
      <c r="B22" s="3"/>
      <c r="C22" s="3" t="s">
        <v>237</v>
      </c>
      <c r="D22" s="3"/>
    </row>
    <row r="23" customFormat="false" ht="15" hidden="false" customHeight="true" outlineLevel="0" collapsed="false">
      <c r="A23" s="2" t="s">
        <v>238</v>
      </c>
      <c r="B23" s="2"/>
      <c r="C23" s="2"/>
      <c r="D23" s="2"/>
    </row>
    <row r="24" customFormat="false" ht="17.35" hidden="false" customHeight="false" outlineLevel="0" collapsed="false">
      <c r="A24" s="23" t="s">
        <v>220</v>
      </c>
      <c r="B24" s="3"/>
      <c r="C24" s="3" t="s">
        <v>239</v>
      </c>
      <c r="D24" s="3"/>
    </row>
    <row r="25" customFormat="false" ht="17.35" hidden="false" customHeight="false" outlineLevel="0" collapsed="false">
      <c r="A25" s="24" t="s">
        <v>220</v>
      </c>
      <c r="B25" s="7"/>
      <c r="C25" s="7" t="s">
        <v>240</v>
      </c>
      <c r="D25" s="7"/>
    </row>
    <row r="26" customFormat="false" ht="17.35" hidden="false" customHeight="false" outlineLevel="0" collapsed="false">
      <c r="A26" s="23" t="s">
        <v>220</v>
      </c>
      <c r="B26" s="3"/>
      <c r="C26" s="3" t="s">
        <v>241</v>
      </c>
      <c r="D26" s="3"/>
    </row>
    <row r="27" customFormat="false" ht="17.35" hidden="false" customHeight="false" outlineLevel="0" collapsed="false">
      <c r="A27" s="24" t="s">
        <v>220</v>
      </c>
      <c r="B27" s="7"/>
      <c r="C27" s="7" t="s">
        <v>242</v>
      </c>
      <c r="D27" s="7"/>
    </row>
    <row r="28" customFormat="false" ht="17.35" hidden="false" customHeight="false" outlineLevel="0" collapsed="false">
      <c r="A28" s="23" t="s">
        <v>220</v>
      </c>
      <c r="B28" s="3"/>
      <c r="C28" s="3" t="s">
        <v>243</v>
      </c>
      <c r="D28" s="3"/>
    </row>
    <row r="29" customFormat="false" ht="17.35" hidden="false" customHeight="false" outlineLevel="0" collapsed="false">
      <c r="A29" s="24" t="s">
        <v>220</v>
      </c>
      <c r="B29" s="7"/>
      <c r="C29" s="7" t="s">
        <v>244</v>
      </c>
      <c r="D29" s="7"/>
    </row>
    <row r="30" customFormat="false" ht="17.35" hidden="false" customHeight="false" outlineLevel="0" collapsed="false">
      <c r="A30" s="23" t="s">
        <v>220</v>
      </c>
      <c r="B30" s="3"/>
      <c r="C30" s="3" t="s">
        <v>245</v>
      </c>
      <c r="D30" s="3"/>
    </row>
    <row r="31" customFormat="false" ht="15" hidden="false" customHeight="true" outlineLevel="0" collapsed="false">
      <c r="A31" s="2" t="s">
        <v>246</v>
      </c>
      <c r="B31" s="2"/>
      <c r="C31" s="2"/>
      <c r="D31" s="2"/>
    </row>
    <row r="32" customFormat="false" ht="17.35" hidden="false" customHeight="false" outlineLevel="0" collapsed="false">
      <c r="A32" s="23" t="s">
        <v>220</v>
      </c>
      <c r="B32" s="3"/>
      <c r="C32" s="3" t="s">
        <v>247</v>
      </c>
      <c r="D32" s="3"/>
    </row>
    <row r="33" customFormat="false" ht="17.35" hidden="false" customHeight="false" outlineLevel="0" collapsed="false">
      <c r="A33" s="24" t="s">
        <v>220</v>
      </c>
      <c r="B33" s="7"/>
      <c r="C33" s="7" t="s">
        <v>248</v>
      </c>
      <c r="D33" s="7"/>
    </row>
    <row r="34" customFormat="false" ht="17.35" hidden="false" customHeight="false" outlineLevel="0" collapsed="false">
      <c r="A34" s="23" t="s">
        <v>220</v>
      </c>
      <c r="B34" s="3"/>
      <c r="C34" s="3" t="s">
        <v>249</v>
      </c>
      <c r="D34" s="3"/>
    </row>
    <row r="35" customFormat="false" ht="17.35" hidden="false" customHeight="false" outlineLevel="0" collapsed="false">
      <c r="A35" s="24" t="s">
        <v>220</v>
      </c>
      <c r="B35" s="7"/>
      <c r="C35" s="7" t="s">
        <v>250</v>
      </c>
      <c r="D35" s="7"/>
    </row>
    <row r="36" customFormat="false" ht="17.35" hidden="false" customHeight="false" outlineLevel="0" collapsed="false">
      <c r="A36" s="23" t="s">
        <v>220</v>
      </c>
      <c r="B36" s="3"/>
      <c r="C36" s="3" t="s">
        <v>251</v>
      </c>
      <c r="D36" s="3"/>
    </row>
    <row r="37" customFormat="false" ht="17.35" hidden="false" customHeight="false" outlineLevel="0" collapsed="false">
      <c r="A37" s="24" t="s">
        <v>220</v>
      </c>
      <c r="B37" s="7"/>
      <c r="C37" s="7" t="s">
        <v>252</v>
      </c>
      <c r="D37" s="7"/>
    </row>
    <row r="38" customFormat="false" ht="17.35" hidden="false" customHeight="false" outlineLevel="0" collapsed="false">
      <c r="A38" s="23" t="s">
        <v>220</v>
      </c>
      <c r="B38" s="3"/>
      <c r="C38" s="3" t="s">
        <v>253</v>
      </c>
      <c r="D38" s="3"/>
    </row>
  </sheetData>
  <mergeCells count="6">
    <mergeCell ref="A1:D1"/>
    <mergeCell ref="A2:D2"/>
    <mergeCell ref="A5:D5"/>
    <mergeCell ref="A15:D15"/>
    <mergeCell ref="A23:D23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2026-05-20T05:58:46Z</dcterms:created>
  <dc:creator>openpyxl</dc:creator>
  <dc:description/>
  <dc:language>en-US</dc:language>
  <cp:lastModifiedBy/>
  <dcterms:modified xsi:type="dcterms:W3CDTF">2026-05-20T05:58:46Z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